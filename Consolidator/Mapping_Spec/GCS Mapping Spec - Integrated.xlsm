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wrs\Desktop\"/>
    </mc:Choice>
  </mc:AlternateContent>
  <xr:revisionPtr revIDLastSave="0" documentId="13_ncr:1_{979A602D-D55F-481B-AFCB-6DDAB5D5D109}" xr6:coauthVersionLast="45" xr6:coauthVersionMax="45" xr10:uidLastSave="{00000000-0000-0000-0000-000000000000}"/>
  <bookViews>
    <workbookView xWindow="28680" yWindow="-120" windowWidth="20730" windowHeight="11160" tabRatio="566" xr2:uid="{00000000-000D-0000-FFFF-FFFF00000000}"/>
  </bookViews>
  <sheets>
    <sheet name="Change Log" sheetId="104" r:id="rId1"/>
    <sheet name="MQ to STG" sheetId="108" r:id="rId2"/>
    <sheet name="STG to GCS INST ISO STG" sheetId="109" r:id="rId3"/>
    <sheet name="STG to GCS INST UNIT STG" sheetId="110" r:id="rId4"/>
  </sheets>
  <functionGroups builtInGroupCount="19"/>
  <definedNames>
    <definedName name="_xlnm._FilterDatabase" localSheetId="1" hidden="1">'MQ to STG'!$A$10:$R$16</definedName>
    <definedName name="Date">#REF!</definedName>
    <definedName name="Description">#REF!</definedName>
    <definedName name="DtbName">#REF!</definedName>
    <definedName name="GenFK">#REF!</definedName>
    <definedName name="Table_Name">#REF!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2" i="110" l="1"/>
  <c r="M13" i="110"/>
  <c r="M14" i="110"/>
  <c r="M15" i="110"/>
  <c r="M16" i="110"/>
  <c r="M17" i="110"/>
  <c r="M18" i="110"/>
  <c r="M19" i="110"/>
  <c r="M20" i="110"/>
  <c r="M21" i="110"/>
  <c r="M22" i="110"/>
  <c r="M23" i="110"/>
  <c r="M24" i="110"/>
  <c r="M25" i="110"/>
  <c r="M26" i="110"/>
  <c r="M27" i="110"/>
  <c r="M28" i="110"/>
  <c r="M29" i="110"/>
  <c r="M30" i="110"/>
  <c r="M31" i="110"/>
  <c r="M32" i="110"/>
  <c r="M33" i="110"/>
  <c r="M34" i="110"/>
  <c r="M35" i="110"/>
  <c r="M36" i="110"/>
  <c r="M37" i="110"/>
  <c r="M38" i="110"/>
  <c r="M39" i="110"/>
  <c r="M40" i="110"/>
  <c r="M41" i="110"/>
  <c r="M42" i="110"/>
  <c r="M43" i="110"/>
  <c r="M44" i="110"/>
  <c r="M45" i="110"/>
  <c r="M46" i="110"/>
  <c r="M47" i="110"/>
  <c r="M48" i="110"/>
  <c r="M49" i="110"/>
  <c r="M50" i="110"/>
  <c r="M51" i="110"/>
  <c r="M52" i="110"/>
  <c r="M53" i="110"/>
  <c r="M54" i="110"/>
  <c r="M55" i="110"/>
  <c r="M11" i="110"/>
</calcChain>
</file>

<file path=xl/sharedStrings.xml><?xml version="1.0" encoding="utf-8"?>
<sst xmlns="http://schemas.openxmlformats.org/spreadsheetml/2006/main" count="743" uniqueCount="281">
  <si>
    <t>Date</t>
  </si>
  <si>
    <t>Change #</t>
  </si>
  <si>
    <t>Person</t>
  </si>
  <si>
    <t>Description</t>
  </si>
  <si>
    <t>Table Name</t>
  </si>
  <si>
    <t>Table Type</t>
  </si>
  <si>
    <t>View Name</t>
  </si>
  <si>
    <t>Display Name</t>
  </si>
  <si>
    <t>Target</t>
  </si>
  <si>
    <t>Source</t>
  </si>
  <si>
    <t>Column Name</t>
  </si>
  <si>
    <t>Datatype</t>
  </si>
  <si>
    <t>Size</t>
  </si>
  <si>
    <t>Key?</t>
  </si>
  <si>
    <t>FK To</t>
  </si>
  <si>
    <t>NULL?</t>
  </si>
  <si>
    <t>Default Value</t>
  </si>
  <si>
    <t>Example Values</t>
  </si>
  <si>
    <t>Source System</t>
  </si>
  <si>
    <t>Source Schema</t>
  </si>
  <si>
    <t>Source Table</t>
  </si>
  <si>
    <t>Source Field Name</t>
  </si>
  <si>
    <t>Source Datatype</t>
  </si>
  <si>
    <t>Comments</t>
  </si>
  <si>
    <t>Extended Property?</t>
  </si>
  <si>
    <t>Y</t>
  </si>
  <si>
    <t>Extraction/Transformation Rules</t>
  </si>
  <si>
    <t>N</t>
  </si>
  <si>
    <t>Staging</t>
  </si>
  <si>
    <t>N/A</t>
  </si>
  <si>
    <t>Scale (right of decimal)</t>
  </si>
  <si>
    <t>GCS</t>
  </si>
  <si>
    <t>SOURCE_SNAPSHOT_TIMESTAMP</t>
  </si>
  <si>
    <t>SOURCE_CREATED_TIMESTAMP</t>
  </si>
  <si>
    <t>DWH_CREATION_TIME</t>
  </si>
  <si>
    <t>DWH_CREATION_USER</t>
  </si>
  <si>
    <t>GCS_INSTANTANEOUS_JSON_STG</t>
  </si>
  <si>
    <t>JSON_GCS_DATA</t>
  </si>
  <si>
    <t>VARIANT</t>
  </si>
  <si>
    <t>SOURCE_DESCRIPTION</t>
  </si>
  <si>
    <t>JSON data per ISO or UNIT names</t>
  </si>
  <si>
    <t>Snapshot timestamp from source queue</t>
  </si>
  <si>
    <t>Create timestamp from source queue</t>
  </si>
  <si>
    <t>User or process that created the record in the DWH</t>
  </si>
  <si>
    <t>TIMESTAMP_NTZ</t>
  </si>
  <si>
    <t>VARCHAR</t>
  </si>
  <si>
    <t>{
      "isoCodeName": "ISO-NE",
      "frequencyHZ": 59.98,
      "totalDeployedERSMW": null,
      "totalDeployedLoadRRSMW": null,
      "totalGenerationMW": 21115,
      "totalLoadMW": 20567,
      "totalOnlineHASLMW": null,
      "totalOnlineLASLMW": null,
      "totalRealTimeOfflineReservesMW": null,
      "totalRealTimeOnlineReservesMW": null,
      "totalSolarMW": 0,
      "totalSumRUCAndRMRUnitsLDLMW": null,
      "totalWindMW": 0,
      "timeOfLastSCEDFromMidnightSecs": null,
      "onlineReliabilityDeploymentPriceAdder": 0,
      "onlineReservesPriceAdder": 0,
      "offlineReservesPriceAdder": 0,
      "regulationMW": null,
      "nonUnitSettlementPoints": []
    }</t>
  </si>
  <si>
    <t>Target Schema</t>
  </si>
  <si>
    <t>NA</t>
  </si>
  <si>
    <t>Time the record is created in the DWH in UTC</t>
  </si>
  <si>
    <t>TIMESTAMP_LTZ</t>
  </si>
  <si>
    <t>Message body</t>
  </si>
  <si>
    <t>Json / String</t>
  </si>
  <si>
    <t>Must be in UTC format</t>
  </si>
  <si>
    <t>Populate the batch name</t>
  </si>
  <si>
    <t>Stage table loaded from the JSON MQ</t>
  </si>
  <si>
    <t>Stage table loaded from GCS JSON staging table for ISO data</t>
  </si>
  <si>
    <t>ISOCODENAME</t>
  </si>
  <si>
    <t>FREQUENCYHZ</t>
  </si>
  <si>
    <t>TOTALDEPLOYEDERSMW</t>
  </si>
  <si>
    <t>TOTALDEPLOYEDLOADRRSMW</t>
  </si>
  <si>
    <t>TOTALGENERATIONMW</t>
  </si>
  <si>
    <t>TOTALLOADMW</t>
  </si>
  <si>
    <t>TOTALONLINEHASLMW</t>
  </si>
  <si>
    <t>TOTALONLINELASLMW</t>
  </si>
  <si>
    <t>TOTALREALTIMEOFFLINERESERVESMW</t>
  </si>
  <si>
    <t>TOTALREALTIMEONLINERESERVESMW</t>
  </si>
  <si>
    <t>TOTALSOLARMW</t>
  </si>
  <si>
    <t>TOTALSUMRUCANDRMRUNITSLDLMW</t>
  </si>
  <si>
    <t>TOTALWINDMW</t>
  </si>
  <si>
    <t>TIMEOFLASTSCEDFROMMIDNIGHTSECS</t>
  </si>
  <si>
    <t>ONLINERELIABILITYDEPLOYMENTPRICEADDER</t>
  </si>
  <si>
    <t>ONLINERESERVESPRICEADDER</t>
  </si>
  <si>
    <t>OFFLINERESERVESPRICEADDER</t>
  </si>
  <si>
    <t>REGULATIONMW</t>
  </si>
  <si>
    <t>LOCATIONALMARGINALPRICE</t>
  </si>
  <si>
    <t>NUMBER</t>
  </si>
  <si>
    <t>ISO Name</t>
  </si>
  <si>
    <t>Total ISO applicable frequency in Hertz</t>
  </si>
  <si>
    <t>Total deployed ERS in MW</t>
  </si>
  <si>
    <t>Total deployed load ERS in MW</t>
  </si>
  <si>
    <t>Total generation in MW</t>
  </si>
  <si>
    <t>Total load in MW</t>
  </si>
  <si>
    <t>Total solar in MW</t>
  </si>
  <si>
    <t>Total wind in MW</t>
  </si>
  <si>
    <t>Total online hasl in MW</t>
  </si>
  <si>
    <t>Total online lasl in MW</t>
  </si>
  <si>
    <t>Total sum of RUC and RMR units LDL in MW</t>
  </si>
  <si>
    <t>Time of last SCED read from midnight in seconds</t>
  </si>
  <si>
    <t>Online reliability deployment price adder</t>
  </si>
  <si>
    <t>Online reserve price adder</t>
  </si>
  <si>
    <t>Offline reserve price adder</t>
  </si>
  <si>
    <t>Regulation in MW</t>
  </si>
  <si>
    <t>Locational marginal price in USD</t>
  </si>
  <si>
    <t>JSON String</t>
  </si>
  <si>
    <t>UNITTYPE</t>
  </si>
  <si>
    <t>UNITSHORTNAME</t>
  </si>
  <si>
    <t>SITECODE</t>
  </si>
  <si>
    <t>COMBINEDCYCLECONFIGURATION</t>
  </si>
  <si>
    <t>ADJUSTEDBASEPOINTRAMPEDMW</t>
  </si>
  <si>
    <t>ADJUSTEDNETMW</t>
  </si>
  <si>
    <t>ECOMAXORHSL</t>
  </si>
  <si>
    <t>ECOMINORLSL</t>
  </si>
  <si>
    <t>GROSSMW</t>
  </si>
  <si>
    <t>HIGHTELEMETEREDLIMITMW</t>
  </si>
  <si>
    <t>LOWTELEMETEREDLIMITMW</t>
  </si>
  <si>
    <t>MKTSETPOINTMW</t>
  </si>
  <si>
    <t>NETMW</t>
  </si>
  <si>
    <t>NSRSRESPONSIBILITYMW</t>
  </si>
  <si>
    <t>NSRSSCHEDULEMW</t>
  </si>
  <si>
    <t>REGULATIONRESPONSIBILITYMW</t>
  </si>
  <si>
    <t>REGDOWNRESPONSIBILITYMW</t>
  </si>
  <si>
    <t>REGSCHEDULEMW</t>
  </si>
  <si>
    <t>REGUPRESPONSIBILITYMW</t>
  </si>
  <si>
    <t>RRSRESPONSIBILITYMW</t>
  </si>
  <si>
    <t>RRSSCHEDULEMW</t>
  </si>
  <si>
    <t>UPDATEDDESIREDBASEPOINTMW</t>
  </si>
  <si>
    <t>AGCSTATUS</t>
  </si>
  <si>
    <t>AVRSTATUS</t>
  </si>
  <si>
    <t>BREAKERSTATUS</t>
  </si>
  <si>
    <t>CURTAILEDSTATUS</t>
  </si>
  <si>
    <t>DUCTBURNERSTATUS</t>
  </si>
  <si>
    <t>EVAPORATORSTATUS</t>
  </si>
  <si>
    <t>ISORESOURCESTATUS</t>
  </si>
  <si>
    <t>MITIGATEDOFFERCURVESTATUS</t>
  </si>
  <si>
    <t>ONLINESTATUS</t>
  </si>
  <si>
    <t>PSSSTATUS</t>
  </si>
  <si>
    <t>QUICKSTARTSTATUS</t>
  </si>
  <si>
    <t>UFRSTATUS</t>
  </si>
  <si>
    <t>REGDOWNPARTICIPATIONFACTOR</t>
  </si>
  <si>
    <t>REGUPPARTICIPATIONFACTOR</t>
  </si>
  <si>
    <t>TIER2RESPONSIVERESERVEMW</t>
  </si>
  <si>
    <t>BOOLEAN</t>
  </si>
  <si>
    <t>JSON_GCS_DATA.ISOCODENAME</t>
  </si>
  <si>
    <t>JSON_GCS_DATA.FREQUENCYHZ</t>
  </si>
  <si>
    <t>JSON_GCS_DATA.TOTALDEPLOYEDERSMW</t>
  </si>
  <si>
    <t>JSON_GCS_DATA.TOTALDEPLOYEDLOADRRSMW</t>
  </si>
  <si>
    <t>JSON_GCS_DATA.TOTALGENERATIONMW</t>
  </si>
  <si>
    <t>JSON_GCS_DATA.TOTALLOADMW</t>
  </si>
  <si>
    <t>JSON_GCS_DATA.TOTALONLINEHASLMW</t>
  </si>
  <si>
    <t>JSON_GCS_DATA.TOTALONLINELASLMW</t>
  </si>
  <si>
    <t>JSON_GCS_DATA.TOTALREALTIMEOFFLINERESERVESMW</t>
  </si>
  <si>
    <t>JSON_GCS_DATA.TOTALREALTIMEONLINERESERVESMW</t>
  </si>
  <si>
    <t>JSON_GCS_DATA.TOTALSOLARMW</t>
  </si>
  <si>
    <t>JSON_GCS_DATA.TOTALSUMRUCANDRMRUNITSLDLMW</t>
  </si>
  <si>
    <t>JSON_GCS_DATA.TOTALWINDMW</t>
  </si>
  <si>
    <t>JSON_GCS_DATA.TIMEOFLASTSCEDFROMMIDNIGHTSECS</t>
  </si>
  <si>
    <t>JSON_GCS_DATA.ONLINERELIABILITYDEPLOYMENTPRICEADDER</t>
  </si>
  <si>
    <t>JSON_GCS_DATA.ONLINERESERVESPRICEADDER</t>
  </si>
  <si>
    <t>JSON_GCS_DATA.OFFLINERESERVESPRICEADDER</t>
  </si>
  <si>
    <t>JSON_GCS_DATA.REGULATIONMW</t>
  </si>
  <si>
    <t>JSON_GCS_DATA.LOCATIONALMARGINALPRICE</t>
  </si>
  <si>
    <t>JSON_GCS_DATA.UNITTYPE</t>
  </si>
  <si>
    <t>JSON_GCS_DATA.UNITSHORTNAME</t>
  </si>
  <si>
    <t>JSON_GCS_DATA.SITECODE</t>
  </si>
  <si>
    <t>JSON_GCS_DATA.COMBINEDCYCLECONFIGURATION</t>
  </si>
  <si>
    <t>JSON_GCS_DATA.ADJUSTEDBASEPOINTRAMPEDMW</t>
  </si>
  <si>
    <t>JSON_GCS_DATA.ADJUSTEDNETMW</t>
  </si>
  <si>
    <t>JSON_GCS_DATA.ECOMAXORHSL</t>
  </si>
  <si>
    <t>JSON_GCS_DATA.ECOMINORLSL</t>
  </si>
  <si>
    <t>JSON_GCS_DATA.GROSSMW</t>
  </si>
  <si>
    <t>JSON_GCS_DATA.HIGHTELEMETEREDLIMITMW</t>
  </si>
  <si>
    <t>JSON_GCS_DATA.NETMW</t>
  </si>
  <si>
    <t>JSON_GCS_DATA.NSRSRESPONSIBILITYMW</t>
  </si>
  <si>
    <t>JSON_GCS_DATA.NSRSSCHEDULEMW</t>
  </si>
  <si>
    <t>JSON_GCS_DATA.REGULATIONRESPONSIBILITYMW</t>
  </si>
  <si>
    <t>JSON_GCS_DATA.REGDOWNRESPONSIBILITYMW</t>
  </si>
  <si>
    <t>JSON_GCS_DATA.REGSCHEDULEMW</t>
  </si>
  <si>
    <t>JSON_GCS_DATA.REGUPRESPONSIBILITYMW</t>
  </si>
  <si>
    <t>JSON_GCS_DATA.RRSRESPONSIBILITYMW</t>
  </si>
  <si>
    <t>JSON_GCS_DATA.RRSSCHEDULEMW</t>
  </si>
  <si>
    <t>JSON_GCS_DATA.UPDATEDDESIREDBASEPOINTMW</t>
  </si>
  <si>
    <t>JSON_GCS_DATA.AGCSTATUS</t>
  </si>
  <si>
    <t>JSON_GCS_DATA.AVRSTATUS</t>
  </si>
  <si>
    <t>JSON_GCS_DATA.BREAKERSTATUS</t>
  </si>
  <si>
    <t>JSON_GCS_DATA.CURTAILEDSTATUS</t>
  </si>
  <si>
    <t>JSON_GCS_DATA.DUCTBURNERSTATUS</t>
  </si>
  <si>
    <t>JSON_GCS_DATA.EVAPORATORSTATUS</t>
  </si>
  <si>
    <t>JSON_GCS_DATA.ISORESOURCESTATUS</t>
  </si>
  <si>
    <t>JSON_GCS_DATA.MITIGATEDOFFERCURVESTATUS</t>
  </si>
  <si>
    <t>JSON_GCS_DATA.ONLINESTATUS</t>
  </si>
  <si>
    <t>JSON_GCS_DATA.PSSSTATUS</t>
  </si>
  <si>
    <t>JSON_GCS_DATA.QUICKSTARTSTATUS</t>
  </si>
  <si>
    <t>JSON_GCS_DATA.UFRSTATUS</t>
  </si>
  <si>
    <t>JSON_GCS_DATA.REGDOWNPARTICIPATIONFACTOR</t>
  </si>
  <si>
    <t>JSON_GCS_DATA.REGUPPARTICIPATIONFACTOR</t>
  </si>
  <si>
    <t>JSON_GCS_DATA.TIER2RESPONSIVERESERVEMW</t>
  </si>
  <si>
    <t>Description from source queue</t>
  </si>
  <si>
    <t>Total Realtime offline reserves in MW</t>
  </si>
  <si>
    <t>Total Realtime online reserves in MW</t>
  </si>
  <si>
    <t>Sequence number assigned per instantaneous message</t>
  </si>
  <si>
    <t>DWH_LOAD_UUID</t>
  </si>
  <si>
    <t>123e4567-e89b-12d3-a456-426655440000</t>
  </si>
  <si>
    <t>VARCHAR (36)</t>
  </si>
  <si>
    <t>VARCHAR (100)</t>
  </si>
  <si>
    <t>Snowflake</t>
  </si>
  <si>
    <t>Straight</t>
  </si>
  <si>
    <t>First Version</t>
  </si>
  <si>
    <t>USERDB_ETL_CONFIDENTIAL</t>
  </si>
  <si>
    <t>S3 Bucket</t>
  </si>
  <si>
    <t>datalake_np_landing_zone_stage/wholesale/snowflake-validate/</t>
  </si>
  <si>
    <t>S3_GCS_FILE_NAME</t>
  </si>
  <si>
    <t>Name of the file</t>
  </si>
  <si>
    <t>metadata$filename</t>
  </si>
  <si>
    <t>AWS Non Prod</t>
  </si>
  <si>
    <t>S3 Staging</t>
  </si>
  <si>
    <t>current_timestamp()::timestamp_ntz</t>
  </si>
  <si>
    <t xml:space="preserve"> uuid_string()</t>
  </si>
  <si>
    <t>A version 4 (random) UUID per message</t>
  </si>
  <si>
    <t>value:isoCodeName::string isoCodeName,</t>
  </si>
  <si>
    <t>try_to_number(value:frequencyHZ::string,38,2) frequencyHZ,</t>
  </si>
  <si>
    <t>try_to_number(value:totalDeployedERSMW::string,38,2) totalDeployedERSMW,</t>
  </si>
  <si>
    <t>try_to_number(value:totalDeployedLoadRRSMW::string,38,2) totalDeployedLoadRRSMW,</t>
  </si>
  <si>
    <t>try_to_number(value:totalGenerationMW::string,38,2) totalGenerationMW,</t>
  </si>
  <si>
    <t>try_to_number(value:totalLoadMW::string,38,2) totalLoadMW,</t>
  </si>
  <si>
    <t>try_to_number(value:totalOnlineHASLMW::string,38,2) totalOnlineHASLMW,</t>
  </si>
  <si>
    <t>try_to_number(value:totalOnlineLASLMW::string,38,2) totalOnlineLASLMW,</t>
  </si>
  <si>
    <t>try_to_number(value:totalRealTimeOfflineReservesMW::string,38,2) totalRealTimeOfflineReservesMW,</t>
  </si>
  <si>
    <t>try_to_number(value:totalRealTimeOnlineReservesMW::string,38,2) totalRealTimeOnlineReservesMW,</t>
  </si>
  <si>
    <t>try_to_number(value:totalSolarMW::string,38,2) totalSolarMW,</t>
  </si>
  <si>
    <t>try_to_number(value:totalSumRUCAndRMRUnitsLDLMW::string,38,2) totalSumRUCAndRMRUnitsLDLMW,</t>
  </si>
  <si>
    <t>try_to_number(value:totalWindMW::string,38,2) totalWindMW,</t>
  </si>
  <si>
    <t>try_to_number(value:timeOfLastSCEDFromMidnightSecs::string ,38,0)timeOfLastSCEDFromMidnightSecs,</t>
  </si>
  <si>
    <t>try_to_number(value:onlineReliabilityDeploymentPriceAdder::string,38,2) onlineReliabilityDeploymentPriceAdder,</t>
  </si>
  <si>
    <t>try_to_number(value:onlineReservesPriceAdder::string,38,2) onlineReservesPriceAdder,</t>
  </si>
  <si>
    <t>try_to_number(value:offlineReservesPriceAdder::string,38,2) offlineReservesPriceAdder,</t>
  </si>
  <si>
    <t>try_to_number(value:regulationMW::string,38,2) regulationMW,</t>
  </si>
  <si>
    <t>null as NONUNITSETTLEMENT ,null as LOCATIONALMARGINAL ,</t>
  </si>
  <si>
    <t>json_gcs_data:snapshotTimestamp::Timestamp snapshotTimestamp,</t>
  </si>
  <si>
    <t>json_gcs_data:createdTimestamp::Timestamp createdTimestamp,</t>
  </si>
  <si>
    <t>json_gcs_data:description::String description,</t>
  </si>
  <si>
    <r>
      <t xml:space="preserve">Ex: Name of the process, 
</t>
    </r>
    <r>
      <rPr>
        <i/>
        <sz val="8"/>
        <rFont val="Arial"/>
        <family val="2"/>
      </rPr>
      <t>XXX (RACFID)</t>
    </r>
    <r>
      <rPr>
        <sz val="8"/>
        <rFont val="Arial"/>
        <family val="2"/>
      </rPr>
      <t>, if done by a user</t>
    </r>
  </si>
  <si>
    <t>Direct</t>
  </si>
  <si>
    <t xml:space="preserve">VARCHAR(50), </t>
  </si>
  <si>
    <t>UNITIDENTIFIER</t>
  </si>
  <si>
    <t>try_to_number(value:adjustedBasePointRampedMW::string,38,2) adjustedBasePointRampedMW,</t>
  </si>
  <si>
    <t>try_to_number(value:adjustedNetMW::string,38,2) adjustedNetMW,</t>
  </si>
  <si>
    <t>nvl(try_to_number(value:agcStatus::STRING,38,0),0) agcStatus,</t>
  </si>
  <si>
    <t>nvl(try_to_number(value:avrStatus::string,38,0),0) avrStatus,</t>
  </si>
  <si>
    <t>nvl(try_to_number(value:breakerStatus::string,38,0),0) breakerStatus,</t>
  </si>
  <si>
    <t>try_to_number(value:combinedCycleConfiguration::string,38,2) combinedCycleConfiguration,</t>
  </si>
  <si>
    <t>nvl(try_to_number(value:curtailedStatus::string,38,0),0) curtailedStatus,</t>
  </si>
  <si>
    <t>nvl(try_to_number(value:ductBurnerStatus::string,38,0),0) ductBurnerStatus,</t>
  </si>
  <si>
    <t>try_to_number(value:ecoMaxOrHSL::string,38,2) ecoMaxOrHSL,</t>
  </si>
  <si>
    <t>try_to_number(value:ecoMinOrLSL::string,38,2) ecoMinOrLSL,</t>
  </si>
  <si>
    <t>nvl(try_to_number(value:evaporatorStatus::string,38,0),0) evaporatorStatus,</t>
  </si>
  <si>
    <t>try_to_number(value:grossMW::string,38,2) grossMW,</t>
  </si>
  <si>
    <t>try_to_number(value:highTelemeteredLimitMW::string,38,2) highTelemeteredLimitMW,</t>
  </si>
  <si>
    <t>nvl(try_to_number(value:isoResourceStatus::string,38,0),0) isoResourceStatus,</t>
  </si>
  <si>
    <t>try_to_number(value:lowTelemeteredLimitMW::string,38,2) lowTelemeteredLimitMW,</t>
  </si>
  <si>
    <t>try_to_number(value:mktSetPointMW::string,38,2) mktSetPointMW,</t>
  </si>
  <si>
    <t>try_to_number(value:netMW::string,38,2) netMW,</t>
  </si>
  <si>
    <t>try_to_number(value:nsrsResponsibilityMW::string,38,2) nsrsResponsibilityMW,</t>
  </si>
  <si>
    <t>try_to_number(value:nsrsScheduleMW::string,38,2) nsrsScheduleMW,</t>
  </si>
  <si>
    <t>nvl(try_to_number(value:onlineStatus::string,38,0),0) onlineStatus,</t>
  </si>
  <si>
    <t>nvl(try_to_number(value:pssStatus::string,38,0),0) pssStatus,</t>
  </si>
  <si>
    <t>try_to_number(value:regDownParticipationFactor::string,38,2) regDownParticipationFactor,</t>
  </si>
  <si>
    <t>try_to_number(value:regDownResponsibilityMW::string,38,2) regDownResponsibilityMW,</t>
  </si>
  <si>
    <t>try_to_number(value:regScheduleMW::string,38,2) regScheduleMW,</t>
  </si>
  <si>
    <t>try_to_number(value:regulationResponsibilityMW::string,38,2) regulationResponsibilityMW,</t>
  </si>
  <si>
    <t>try_to_number(value:regUpParticipationFactor::string,38,2) regUpParticipationFactor,</t>
  </si>
  <si>
    <t>try_to_number(value:regUpResponsibilityMW::string,38,2) regUpResponsibilityMW,</t>
  </si>
  <si>
    <t>try_to_number(value:rrsResponsibilityMW::string,38,2) rrsResponsibilityMW,</t>
  </si>
  <si>
    <t>try_to_number(value:rrsScheduleMW::string,38,2) rrsScheduleMW,</t>
  </si>
  <si>
    <t>value:siteCode::string  siteCode,</t>
  </si>
  <si>
    <t>try_to_number(value:tier2ResponsiveReserveMW::string,38,2) tier2ResponsiveReserveMW,</t>
  </si>
  <si>
    <t>nvl(try_to_number(value:ufrStatus::string,38,0),0) ufrStatus,</t>
  </si>
  <si>
    <t>value:unitShortName::string unitShortName,</t>
  </si>
  <si>
    <t>value:unitType::string unitType,</t>
  </si>
  <si>
    <t>try_to_number(value:updatedDesiredBasePointMW::string,38,2) updatedDesiredBasePointMW,</t>
  </si>
  <si>
    <t>value:unitIdentifier::string unitIdentifier,</t>
  </si>
  <si>
    <t>nvl(try_to_number(value:mitigatedOfferCurveStatus::STRING,38,0),0)   mitigatedOfferCurveStatus,</t>
  </si>
  <si>
    <t>nvl(try_to_number(value:quickStartStatus::string,38,0),0) quickStartStatus,</t>
  </si>
  <si>
    <t xml:space="preserve">try_to_number(value:locationalMarginalPrice::string,38,2) locationalMarginalPrice, </t>
  </si>
  <si>
    <t>json_gcs_data:snapshotTimestamp::TIMESTAMP_NTZ SOURCE_SNAPSHOT_TIMESTAMP,</t>
  </si>
  <si>
    <t>json_gcs_data:createdTimestamp::TIMESTAMP_NTZ SOURCE_CREATED_TIMESTAMP,</t>
  </si>
  <si>
    <t>json_gcs_data:description::STRING SOURCE_DESCRIPTION,</t>
  </si>
  <si>
    <t>Keith Wertsching</t>
  </si>
  <si>
    <t>GCS_INTEGRATED_JSON_STG</t>
  </si>
  <si>
    <t>GCS_INTEGRATED_ISO_STG</t>
  </si>
  <si>
    <t>GCS_INTEGRATED_UNIT_STG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</si>
</sst>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i/>
      <sz val="8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1" fillId="6" borderId="7" applyNumberFormat="0" applyFont="0" applyAlignment="0" applyProtection="0"/>
    <xf numFmtId="0" fontId="19" fillId="15" borderId="8" applyNumberFormat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Border="1" applyAlignment="1">
      <alignment wrapText="1"/>
    </xf>
    <xf numFmtId="0" fontId="0" fillId="0" borderId="0" xfId="0" applyAlignment="1">
      <alignment vertical="top"/>
    </xf>
    <xf numFmtId="0" fontId="4" fillId="0" borderId="0" xfId="0" applyFont="1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4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vertical="top" wrapText="1"/>
    </xf>
    <xf numFmtId="0" fontId="0" fillId="0" borderId="10" xfId="0" applyBorder="1" applyAlignment="1">
      <alignment vertical="top"/>
    </xf>
    <xf numFmtId="0" fontId="0" fillId="0" borderId="10" xfId="0" applyBorder="1" applyAlignment="1">
      <alignment vertical="top" wrapText="1"/>
    </xf>
    <xf numFmtId="14" fontId="0" fillId="0" borderId="10" xfId="0" applyNumberFormat="1" applyBorder="1" applyAlignment="1">
      <alignment vertical="top"/>
    </xf>
    <xf numFmtId="14" fontId="0" fillId="0" borderId="12" xfId="0" applyNumberFormat="1" applyBorder="1" applyAlignment="1">
      <alignment vertical="top"/>
    </xf>
    <xf numFmtId="0" fontId="0" fillId="0" borderId="12" xfId="0" applyBorder="1" applyAlignment="1">
      <alignment vertical="top"/>
    </xf>
    <xf numFmtId="0" fontId="3" fillId="21" borderId="17" xfId="0" applyFont="1" applyFill="1" applyBorder="1" applyAlignment="1">
      <alignment vertical="top"/>
    </xf>
    <xf numFmtId="0" fontId="3" fillId="21" borderId="17" xfId="0" applyFont="1" applyFill="1" applyBorder="1" applyAlignment="1">
      <alignment vertical="top" wrapText="1"/>
    </xf>
    <xf numFmtId="0" fontId="5" fillId="0" borderId="0" xfId="0" applyFont="1" applyBorder="1" applyAlignment="1">
      <alignment horizontal="left"/>
    </xf>
    <xf numFmtId="0" fontId="5" fillId="0" borderId="0" xfId="0" applyFont="1" applyBorder="1" applyAlignment="1"/>
    <xf numFmtId="0" fontId="4" fillId="22" borderId="0" xfId="0" applyFont="1" applyFill="1" applyBorder="1" applyAlignment="1">
      <alignment horizontal="left"/>
    </xf>
    <xf numFmtId="0" fontId="0" fillId="22" borderId="0" xfId="0" applyFill="1" applyBorder="1" applyAlignment="1">
      <alignment horizontal="left"/>
    </xf>
    <xf numFmtId="0" fontId="4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2" fillId="0" borderId="0" xfId="0" applyFont="1" applyBorder="1" applyAlignment="1">
      <alignment horizontal="left" wrapText="1"/>
    </xf>
    <xf numFmtId="0" fontId="2" fillId="23" borderId="0" xfId="0" applyFont="1" applyFill="1" applyBorder="1" applyAlignment="1">
      <alignment horizontal="left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left"/>
    </xf>
    <xf numFmtId="0" fontId="1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22" borderId="0" xfId="0" applyFont="1" applyFill="1" applyBorder="1" applyAlignment="1">
      <alignment horizontal="left"/>
    </xf>
    <xf numFmtId="0" fontId="1" fillId="0" borderId="0" xfId="0" applyFont="1" applyAlignment="1"/>
    <xf numFmtId="0" fontId="2" fillId="20" borderId="16" xfId="0" applyFont="1" applyFill="1" applyBorder="1" applyAlignment="1">
      <alignment horizontal="center"/>
    </xf>
    <xf numFmtId="0" fontId="2" fillId="20" borderId="13" xfId="0" applyFont="1" applyFill="1" applyBorder="1" applyAlignment="1">
      <alignment horizontal="center"/>
    </xf>
    <xf numFmtId="0" fontId="2" fillId="20" borderId="13" xfId="0" applyFont="1" applyFill="1" applyBorder="1" applyAlignment="1">
      <alignment horizontal="center" wrapText="1"/>
    </xf>
    <xf numFmtId="0" fontId="5" fillId="20" borderId="13" xfId="0" applyFont="1" applyFill="1" applyBorder="1" applyAlignment="1">
      <alignment horizontal="center"/>
    </xf>
    <xf numFmtId="0" fontId="2" fillId="20" borderId="20" xfId="0" applyFont="1" applyFill="1" applyBorder="1" applyAlignment="1">
      <alignment horizontal="center" wrapText="1"/>
    </xf>
    <xf numFmtId="0" fontId="5" fillId="20" borderId="15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" fillId="20" borderId="11" xfId="0" applyFont="1" applyFill="1" applyBorder="1" applyAlignment="1">
      <alignment horizontal="center"/>
    </xf>
    <xf numFmtId="0" fontId="2" fillId="20" borderId="11" xfId="0" applyFont="1" applyFill="1" applyBorder="1" applyAlignment="1">
      <alignment horizontal="center" wrapText="1"/>
    </xf>
    <xf numFmtId="0" fontId="2" fillId="20" borderId="12" xfId="0" applyFont="1" applyFill="1" applyBorder="1" applyAlignment="1">
      <alignment horizontal="center"/>
    </xf>
    <xf numFmtId="0" fontId="2" fillId="20" borderId="12" xfId="0" applyFont="1" applyFill="1" applyBorder="1" applyAlignment="1">
      <alignment horizontal="center" wrapText="1"/>
    </xf>
    <xf numFmtId="0" fontId="2" fillId="20" borderId="21" xfId="0" applyFont="1" applyFill="1" applyBorder="1" applyAlignment="1">
      <alignment horizontal="center" wrapText="1"/>
    </xf>
    <xf numFmtId="0" fontId="2" fillId="20" borderId="18" xfId="0" applyFont="1" applyFill="1" applyBorder="1" applyAlignment="1">
      <alignment horizontal="center" wrapText="1"/>
    </xf>
    <xf numFmtId="0" fontId="2" fillId="20" borderId="19" xfId="0" applyFont="1" applyFill="1" applyBorder="1" applyAlignment="1">
      <alignment horizontal="center" wrapText="1"/>
    </xf>
    <xf numFmtId="0" fontId="2" fillId="20" borderId="18" xfId="0" applyFont="1" applyFill="1" applyBorder="1" applyAlignment="1">
      <alignment horizontal="center"/>
    </xf>
    <xf numFmtId="0" fontId="0" fillId="0" borderId="0" xfId="0" applyAlignment="1"/>
    <xf numFmtId="0" fontId="1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2" fillId="0" borderId="19" xfId="0" applyFont="1" applyBorder="1" applyAlignment="1">
      <alignment horizontal="left" wrapText="1"/>
    </xf>
    <xf numFmtId="0" fontId="1" fillId="0" borderId="0" xfId="0" applyFont="1" applyAlignment="1">
      <alignment horizontal="left"/>
    </xf>
    <xf numFmtId="11" fontId="2" fillId="0" borderId="19" xfId="0" applyNumberFormat="1" applyFont="1" applyBorder="1" applyAlignment="1">
      <alignment horizontal="left"/>
    </xf>
    <xf numFmtId="0" fontId="2" fillId="0" borderId="0" xfId="0" applyFont="1" applyAlignment="1"/>
    <xf numFmtId="0" fontId="1" fillId="0" borderId="12" xfId="0" applyFont="1" applyBorder="1" applyAlignment="1">
      <alignment vertical="top"/>
    </xf>
    <xf numFmtId="0" fontId="1" fillId="0" borderId="12" xfId="0" applyFont="1" applyBorder="1" applyAlignment="1">
      <alignment vertical="top" wrapText="1"/>
    </xf>
    <xf numFmtId="0" fontId="1" fillId="0" borderId="10" xfId="0" applyFont="1" applyBorder="1" applyAlignment="1">
      <alignment vertical="top" wrapText="1"/>
    </xf>
    <xf numFmtId="0" fontId="5" fillId="20" borderId="16" xfId="0" applyFont="1" applyFill="1" applyBorder="1" applyAlignment="1">
      <alignment horizontal="center" wrapText="1"/>
    </xf>
    <xf numFmtId="0" fontId="5" fillId="20" borderId="13" xfId="0" applyFont="1" applyFill="1" applyBorder="1" applyAlignment="1">
      <alignment horizontal="center" wrapText="1"/>
    </xf>
    <xf numFmtId="0" fontId="5" fillId="20" borderId="14" xfId="0" applyFont="1" applyFill="1" applyBorder="1" applyAlignment="1">
      <alignment horizontal="center" wrapText="1"/>
    </xf>
  </cellXfs>
  <cellStyles count="44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te" xfId="39" builtinId="10" customBuiltin="1"/>
    <cellStyle name="Output" xfId="40" builtinId="21" customBuiltin="1"/>
    <cellStyle name="Sheet Title" xfId="41" xr:uid="{00000000-0005-0000-0000-000029000000}"/>
    <cellStyle name="Total" xfId="42" builtinId="25" customBuiltin="1"/>
    <cellStyle name="Warning Text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16"/>
  <sheetViews>
    <sheetView tabSelected="1" zoomScaleNormal="100" workbookViewId="0">
      <selection activeCell="D2" sqref="D2"/>
    </sheetView>
  </sheetViews>
  <sheetFormatPr defaultColWidth="9.08984375" defaultRowHeight="12.5" x14ac:dyDescent="0.25"/>
  <cols>
    <col min="1" max="1" width="10.08984375" style="2" bestFit="1" customWidth="1"/>
    <col min="2" max="2" width="10.36328125" style="2" customWidth="1"/>
    <col min="3" max="3" width="14.7265625" style="2" bestFit="1" customWidth="1"/>
    <col min="4" max="4" width="78.6328125" style="7" customWidth="1"/>
    <col min="5" max="16384" width="9.08984375" style="2"/>
  </cols>
  <sheetData>
    <row r="1" spans="1:4" ht="14" thickTop="1" thickBot="1" x14ac:dyDescent="0.3">
      <c r="A1" s="13" t="s">
        <v>0</v>
      </c>
      <c r="B1" s="13" t="s">
        <v>1</v>
      </c>
      <c r="C1" s="13" t="s">
        <v>2</v>
      </c>
      <c r="D1" s="14" t="s">
        <v>3</v>
      </c>
    </row>
    <row r="2" spans="1:4" ht="13" thickTop="1" x14ac:dyDescent="0.25">
      <c r="A2" s="11">
        <v>43864</v>
      </c>
      <c r="B2" s="12">
        <v>0</v>
      </c>
      <c r="C2" s="54" t="s">
        <v>277</v>
      </c>
      <c r="D2" s="55" t="s">
        <v>197</v>
      </c>
    </row>
    <row r="3" spans="1:4" x14ac:dyDescent="0.25">
      <c r="A3" s="10"/>
      <c r="B3" s="8"/>
      <c r="C3" s="54"/>
      <c r="D3" s="56"/>
    </row>
    <row r="4" spans="1:4" x14ac:dyDescent="0.25">
      <c r="A4" s="10"/>
      <c r="B4" s="8"/>
      <c r="C4" s="8"/>
      <c r="D4" s="56"/>
    </row>
    <row r="5" spans="1:4" x14ac:dyDescent="0.25">
      <c r="A5" s="8"/>
      <c r="B5" s="8"/>
      <c r="C5" s="8"/>
      <c r="D5" s="9"/>
    </row>
    <row r="6" spans="1:4" x14ac:dyDescent="0.25">
      <c r="A6" s="8"/>
      <c r="B6" s="8"/>
      <c r="C6" s="8"/>
      <c r="D6" s="9"/>
    </row>
    <row r="7" spans="1:4" x14ac:dyDescent="0.25">
      <c r="A7" s="8"/>
      <c r="B7" s="8"/>
      <c r="C7" s="8"/>
      <c r="D7" s="9"/>
    </row>
    <row r="8" spans="1:4" x14ac:dyDescent="0.25">
      <c r="A8" s="8"/>
      <c r="B8" s="8"/>
      <c r="C8" s="8"/>
      <c r="D8" s="9"/>
    </row>
    <row r="9" spans="1:4" x14ac:dyDescent="0.25">
      <c r="A9" s="8"/>
      <c r="B9" s="8"/>
      <c r="C9" s="8"/>
      <c r="D9" s="9"/>
    </row>
    <row r="10" spans="1:4" x14ac:dyDescent="0.25">
      <c r="A10" s="8"/>
      <c r="B10" s="8"/>
      <c r="C10" s="8"/>
      <c r="D10" s="9"/>
    </row>
    <row r="11" spans="1:4" x14ac:dyDescent="0.25">
      <c r="A11" s="8"/>
      <c r="B11" s="8"/>
      <c r="C11" s="8"/>
      <c r="D11" s="9"/>
    </row>
    <row r="12" spans="1:4" x14ac:dyDescent="0.25">
      <c r="A12" s="8"/>
      <c r="B12" s="8"/>
      <c r="C12" s="8"/>
      <c r="D12" s="9"/>
    </row>
    <row r="13" spans="1:4" x14ac:dyDescent="0.25">
      <c r="A13" s="8"/>
      <c r="B13" s="8"/>
      <c r="C13" s="8"/>
      <c r="D13" s="9"/>
    </row>
    <row r="14" spans="1:4" x14ac:dyDescent="0.25">
      <c r="A14" s="8"/>
      <c r="B14" s="8"/>
      <c r="C14" s="8"/>
      <c r="D14" s="9"/>
    </row>
    <row r="15" spans="1:4" x14ac:dyDescent="0.25">
      <c r="A15" s="8"/>
      <c r="B15" s="8"/>
      <c r="C15" s="8"/>
      <c r="D15" s="9"/>
    </row>
    <row r="16" spans="1:4" x14ac:dyDescent="0.25">
      <c r="A16" s="8"/>
      <c r="B16" s="8"/>
      <c r="C16" s="8"/>
      <c r="D16" s="9"/>
    </row>
  </sheetData>
  <phoneticPr fontId="2" type="noConversion"/>
  <pageMargins left="0.75" right="0.75" top="1" bottom="1" header="0.5" footer="0.5"/>
  <pageSetup orientation="landscape" r:id="rId1"/>
  <headerFooter alignWithMargins="0">
    <oddHeader>&amp;L&amp;8COMPANY NAME -- PROJECT NAME&amp;R&amp;8Example data model information workbook</oddHeader>
    <oddFooter>&amp;L&amp;8&amp;D&amp;C&amp;8Data Warehouse Lifecycle Toolkit, 2nd Edition
Copyright 2008, Kimball Group&amp;R&amp;8Page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9EEBC-EB68-4FA8-AD60-41D668465C31}">
  <sheetPr>
    <tabColor indexed="43"/>
  </sheetPr>
  <dimension ref="A1:R87"/>
  <sheetViews>
    <sheetView zoomScale="93" workbookViewId="0">
      <pane xSplit="1" topLeftCell="B1" activePane="topRight" state="frozen"/>
      <selection activeCell="A5" sqref="A5"/>
      <selection pane="topRight" activeCell="B1" sqref="B1"/>
    </sheetView>
  </sheetViews>
  <sheetFormatPr defaultColWidth="9.08984375" defaultRowHeight="12.5" x14ac:dyDescent="0.25"/>
  <cols>
    <col min="1" max="1" width="38.54296875" style="6" bestFit="1" customWidth="1"/>
    <col min="2" max="2" width="12.90625" style="6" customWidth="1"/>
    <col min="3" max="3" width="27.08984375" style="4" customWidth="1"/>
    <col min="4" max="4" width="13.6328125" style="4" bestFit="1" customWidth="1"/>
    <col min="5" max="5" width="6.36328125" style="6" customWidth="1"/>
    <col min="6" max="6" width="6.6328125" style="6" customWidth="1"/>
    <col min="7" max="7" width="4.54296875" style="6" customWidth="1"/>
    <col min="8" max="8" width="21.54296875" style="6" customWidth="1"/>
    <col min="9" max="9" width="5.54296875" style="6" customWidth="1"/>
    <col min="10" max="10" width="10.54296875" style="6" customWidth="1"/>
    <col min="11" max="11" width="12.6328125" style="20" customWidth="1"/>
    <col min="12" max="12" width="15" style="4" customWidth="1"/>
    <col min="13" max="13" width="23.36328125" style="6" bestFit="1" customWidth="1"/>
    <col min="14" max="14" width="22.453125" style="6" bestFit="1" customWidth="1"/>
    <col min="15" max="15" width="31.90625" style="6" bestFit="1" customWidth="1"/>
    <col min="16" max="16" width="10.08984375" style="6" customWidth="1"/>
    <col min="17" max="17" width="31.08984375" style="6" customWidth="1"/>
    <col min="18" max="18" width="22.453125" style="6" bestFit="1" customWidth="1"/>
    <col min="19" max="16384" width="9.08984375" style="6"/>
  </cols>
  <sheetData>
    <row r="1" spans="1:18" s="5" customFormat="1" ht="17.5" x14ac:dyDescent="0.35">
      <c r="A1" s="17" t="s">
        <v>4</v>
      </c>
      <c r="B1" s="5" t="s">
        <v>278</v>
      </c>
      <c r="C1" s="3"/>
      <c r="D1" s="3"/>
      <c r="K1" s="19"/>
      <c r="L1" s="3"/>
    </row>
    <row r="2" spans="1:18" x14ac:dyDescent="0.25">
      <c r="A2" s="18" t="s">
        <v>5</v>
      </c>
      <c r="B2" s="27" t="s">
        <v>28</v>
      </c>
      <c r="C2" s="28"/>
    </row>
    <row r="3" spans="1:18" x14ac:dyDescent="0.25">
      <c r="A3" s="30" t="s">
        <v>47</v>
      </c>
      <c r="B3" s="27" t="s">
        <v>198</v>
      </c>
      <c r="C3" s="28"/>
    </row>
    <row r="4" spans="1:18" x14ac:dyDescent="0.25">
      <c r="A4" s="18" t="s">
        <v>6</v>
      </c>
      <c r="B4" s="16" t="s">
        <v>29</v>
      </c>
      <c r="C4" s="1"/>
    </row>
    <row r="5" spans="1:18" x14ac:dyDescent="0.25">
      <c r="A5" s="18" t="s">
        <v>7</v>
      </c>
      <c r="B5" s="15" t="s">
        <v>29</v>
      </c>
      <c r="D5" s="6"/>
      <c r="H5" s="4"/>
      <c r="I5" s="4"/>
    </row>
    <row r="6" spans="1:18" x14ac:dyDescent="0.25">
      <c r="A6" s="18" t="s">
        <v>3</v>
      </c>
      <c r="B6" s="31" t="s">
        <v>55</v>
      </c>
      <c r="C6" s="1"/>
    </row>
    <row r="7" spans="1:18" x14ac:dyDescent="0.25">
      <c r="A7" s="18" t="s">
        <v>199</v>
      </c>
      <c r="B7" s="27" t="s">
        <v>200</v>
      </c>
      <c r="C7" s="1"/>
    </row>
    <row r="8" spans="1:18" ht="13" thickBot="1" x14ac:dyDescent="0.3"/>
    <row r="9" spans="1:18" s="38" customFormat="1" ht="13" thickBot="1" x14ac:dyDescent="0.3">
      <c r="A9" s="32"/>
      <c r="B9" s="33"/>
      <c r="C9" s="34"/>
      <c r="D9" s="33"/>
      <c r="E9" s="35" t="s">
        <v>8</v>
      </c>
      <c r="F9" s="33"/>
      <c r="G9" s="33"/>
      <c r="H9" s="33"/>
      <c r="I9" s="33"/>
      <c r="J9" s="33"/>
      <c r="K9" s="36"/>
      <c r="L9" s="57" t="s">
        <v>9</v>
      </c>
      <c r="M9" s="58"/>
      <c r="N9" s="58"/>
      <c r="O9" s="58"/>
      <c r="P9" s="58"/>
      <c r="Q9" s="59"/>
      <c r="R9" s="37"/>
    </row>
    <row r="10" spans="1:18" s="38" customFormat="1" ht="20.149999999999999" customHeight="1" x14ac:dyDescent="0.25">
      <c r="A10" s="39" t="s">
        <v>10</v>
      </c>
      <c r="B10" s="40" t="s">
        <v>7</v>
      </c>
      <c r="C10" s="40" t="s">
        <v>3</v>
      </c>
      <c r="D10" s="41" t="s">
        <v>11</v>
      </c>
      <c r="E10" s="41" t="s">
        <v>12</v>
      </c>
      <c r="F10" s="42" t="s">
        <v>30</v>
      </c>
      <c r="G10" s="41" t="s">
        <v>13</v>
      </c>
      <c r="H10" s="41" t="s">
        <v>14</v>
      </c>
      <c r="I10" s="41" t="s">
        <v>15</v>
      </c>
      <c r="J10" s="42" t="s">
        <v>16</v>
      </c>
      <c r="K10" s="43" t="s">
        <v>17</v>
      </c>
      <c r="L10" s="40" t="s">
        <v>18</v>
      </c>
      <c r="M10" s="42" t="s">
        <v>19</v>
      </c>
      <c r="N10" s="42" t="s">
        <v>20</v>
      </c>
      <c r="O10" s="42" t="s">
        <v>21</v>
      </c>
      <c r="P10" s="42" t="s">
        <v>22</v>
      </c>
      <c r="Q10" s="42" t="s">
        <v>26</v>
      </c>
      <c r="R10" s="42" t="s">
        <v>23</v>
      </c>
    </row>
    <row r="11" spans="1:18" s="38" customFormat="1" hidden="1" x14ac:dyDescent="0.25">
      <c r="A11" s="44" t="s">
        <v>24</v>
      </c>
      <c r="B11" s="45" t="s">
        <v>25</v>
      </c>
      <c r="C11" s="45" t="s">
        <v>25</v>
      </c>
      <c r="D11" s="46"/>
      <c r="E11" s="46"/>
      <c r="F11" s="46"/>
      <c r="G11" s="46"/>
      <c r="H11" s="46" t="s">
        <v>25</v>
      </c>
      <c r="I11" s="46"/>
      <c r="J11" s="44"/>
      <c r="K11" s="44" t="s">
        <v>25</v>
      </c>
      <c r="L11" s="45" t="s">
        <v>25</v>
      </c>
      <c r="M11" s="44" t="s">
        <v>25</v>
      </c>
      <c r="N11" s="44" t="s">
        <v>25</v>
      </c>
      <c r="O11" s="44" t="s">
        <v>25</v>
      </c>
      <c r="P11" s="44" t="s">
        <v>25</v>
      </c>
      <c r="Q11" s="44" t="s">
        <v>25</v>
      </c>
      <c r="R11" s="44" t="s">
        <v>25</v>
      </c>
    </row>
    <row r="12" spans="1:18" s="51" customFormat="1" x14ac:dyDescent="0.25">
      <c r="A12" s="31" t="s">
        <v>37</v>
      </c>
      <c r="C12" s="25" t="s">
        <v>40</v>
      </c>
      <c r="D12" s="21" t="s">
        <v>38</v>
      </c>
      <c r="E12" s="21"/>
      <c r="F12" s="21"/>
      <c r="G12" s="21"/>
      <c r="H12" s="21"/>
      <c r="I12" s="21" t="s">
        <v>27</v>
      </c>
      <c r="J12" s="21"/>
      <c r="K12" s="22" t="s">
        <v>46</v>
      </c>
      <c r="L12" s="23" t="s">
        <v>31</v>
      </c>
      <c r="M12" s="21" t="s">
        <v>204</v>
      </c>
      <c r="N12" s="21" t="s">
        <v>205</v>
      </c>
      <c r="O12" s="21" t="s">
        <v>51</v>
      </c>
      <c r="P12" s="21" t="s">
        <v>52</v>
      </c>
      <c r="Q12" s="25"/>
      <c r="R12" s="23"/>
    </row>
    <row r="13" spans="1:18" s="51" customFormat="1" x14ac:dyDescent="0.25">
      <c r="A13" s="31" t="s">
        <v>201</v>
      </c>
      <c r="B13" s="29"/>
      <c r="C13" s="25" t="s">
        <v>202</v>
      </c>
      <c r="D13" s="21" t="s">
        <v>45</v>
      </c>
      <c r="E13" s="21">
        <v>150</v>
      </c>
      <c r="F13" s="21"/>
      <c r="G13" s="21"/>
      <c r="H13" s="21"/>
      <c r="I13" s="21" t="s">
        <v>27</v>
      </c>
      <c r="J13" s="21"/>
      <c r="K13" s="50"/>
      <c r="L13" s="23" t="s">
        <v>31</v>
      </c>
      <c r="M13" s="21" t="s">
        <v>204</v>
      </c>
      <c r="N13" s="21" t="s">
        <v>205</v>
      </c>
      <c r="O13" s="21"/>
      <c r="P13" s="21"/>
      <c r="Q13" s="25" t="s">
        <v>203</v>
      </c>
      <c r="R13" s="23"/>
    </row>
    <row r="14" spans="1:18" s="51" customFormat="1" ht="20.5" x14ac:dyDescent="0.25">
      <c r="A14" s="31" t="s">
        <v>34</v>
      </c>
      <c r="C14" s="25" t="s">
        <v>49</v>
      </c>
      <c r="D14" s="21" t="s">
        <v>44</v>
      </c>
      <c r="E14" s="21"/>
      <c r="F14" s="21"/>
      <c r="G14" s="21"/>
      <c r="H14" s="21"/>
      <c r="I14" s="21" t="s">
        <v>27</v>
      </c>
      <c r="J14" s="21"/>
      <c r="K14" s="50"/>
      <c r="L14" s="23" t="s">
        <v>48</v>
      </c>
      <c r="M14" s="21" t="s">
        <v>48</v>
      </c>
      <c r="N14" s="21" t="s">
        <v>48</v>
      </c>
      <c r="O14" s="21" t="s">
        <v>48</v>
      </c>
      <c r="P14" s="21" t="s">
        <v>48</v>
      </c>
      <c r="Q14" s="25" t="s">
        <v>206</v>
      </c>
      <c r="R14" s="23" t="s">
        <v>53</v>
      </c>
    </row>
    <row r="15" spans="1:18" s="48" customFormat="1" ht="20.5" x14ac:dyDescent="0.25">
      <c r="A15" s="31" t="s">
        <v>35</v>
      </c>
      <c r="B15" s="51"/>
      <c r="C15" s="25" t="s">
        <v>43</v>
      </c>
      <c r="D15" s="23" t="s">
        <v>45</v>
      </c>
      <c r="E15" s="21">
        <v>50</v>
      </c>
      <c r="F15" s="21"/>
      <c r="G15" s="21"/>
      <c r="H15" s="21"/>
      <c r="I15" s="21" t="s">
        <v>27</v>
      </c>
      <c r="J15" s="21"/>
      <c r="K15" s="22"/>
      <c r="L15" s="23" t="s">
        <v>48</v>
      </c>
      <c r="M15" s="21" t="s">
        <v>48</v>
      </c>
      <c r="N15" s="21" t="s">
        <v>48</v>
      </c>
      <c r="O15" s="21" t="s">
        <v>48</v>
      </c>
      <c r="P15" s="21" t="s">
        <v>48</v>
      </c>
      <c r="Q15" s="25"/>
      <c r="R15" s="21" t="s">
        <v>54</v>
      </c>
    </row>
    <row r="16" spans="1:18" s="21" customFormat="1" ht="20.5" x14ac:dyDescent="0.25">
      <c r="A16" s="31" t="s">
        <v>191</v>
      </c>
      <c r="B16" s="26"/>
      <c r="C16" s="25" t="s">
        <v>208</v>
      </c>
      <c r="D16" s="21" t="s">
        <v>45</v>
      </c>
      <c r="I16" s="21" t="s">
        <v>27</v>
      </c>
      <c r="K16" s="52" t="s">
        <v>192</v>
      </c>
      <c r="L16" s="23" t="s">
        <v>48</v>
      </c>
      <c r="M16" s="21" t="s">
        <v>48</v>
      </c>
      <c r="N16" s="21" t="s">
        <v>48</v>
      </c>
      <c r="O16" s="21" t="s">
        <v>48</v>
      </c>
      <c r="P16" s="21" t="s">
        <v>48</v>
      </c>
      <c r="Q16" s="25" t="s">
        <v>207</v>
      </c>
    </row>
    <row r="17" spans="1:17" s="21" customFormat="1" x14ac:dyDescent="0.25">
      <c r="A17" s="47"/>
      <c r="B17" s="26"/>
      <c r="C17" s="29"/>
      <c r="K17" s="22"/>
      <c r="L17" s="23"/>
      <c r="M17" s="23"/>
      <c r="Q17" s="25"/>
    </row>
    <row r="18" spans="1:17" s="21" customFormat="1" x14ac:dyDescent="0.25">
      <c r="A18" s="47"/>
      <c r="B18" s="26"/>
      <c r="C18" s="23"/>
      <c r="K18" s="22"/>
      <c r="L18" s="23"/>
      <c r="M18" s="23"/>
      <c r="Q18" s="25"/>
    </row>
    <row r="19" spans="1:17" s="21" customFormat="1" x14ac:dyDescent="0.25">
      <c r="A19" s="47"/>
      <c r="B19" s="26"/>
      <c r="C19" s="25"/>
      <c r="K19" s="22"/>
      <c r="L19" s="23"/>
      <c r="M19" s="23"/>
    </row>
    <row r="20" spans="1:17" s="21" customFormat="1" x14ac:dyDescent="0.25">
      <c r="A20" s="47"/>
      <c r="B20" s="26"/>
      <c r="C20" s="25"/>
      <c r="K20" s="22"/>
      <c r="L20" s="23"/>
      <c r="M20" s="23"/>
    </row>
    <row r="21" spans="1:17" s="21" customFormat="1" x14ac:dyDescent="0.25">
      <c r="A21" s="47"/>
      <c r="B21" s="26"/>
      <c r="C21" s="25"/>
      <c r="K21" s="22"/>
      <c r="L21" s="23"/>
      <c r="M21" s="23"/>
    </row>
    <row r="22" spans="1:17" s="21" customFormat="1" x14ac:dyDescent="0.25">
      <c r="A22" s="47"/>
      <c r="B22" s="26"/>
      <c r="C22" s="25"/>
      <c r="K22" s="22"/>
      <c r="L22" s="23"/>
      <c r="M22" s="23"/>
    </row>
    <row r="23" spans="1:17" s="21" customFormat="1" x14ac:dyDescent="0.25">
      <c r="A23" s="47"/>
      <c r="B23" s="26"/>
      <c r="C23" s="25"/>
      <c r="K23" s="22"/>
      <c r="L23" s="23"/>
      <c r="M23" s="23"/>
    </row>
    <row r="24" spans="1:17" s="21" customFormat="1" x14ac:dyDescent="0.25">
      <c r="A24" s="47"/>
      <c r="B24" s="26"/>
      <c r="C24" s="25"/>
      <c r="K24" s="22"/>
      <c r="L24" s="23"/>
      <c r="M24" s="23"/>
    </row>
    <row r="25" spans="1:17" s="21" customFormat="1" x14ac:dyDescent="0.25">
      <c r="A25" s="47"/>
      <c r="B25" s="26"/>
      <c r="C25" s="25"/>
      <c r="K25" s="22"/>
      <c r="L25" s="23"/>
      <c r="M25" s="23"/>
    </row>
    <row r="26" spans="1:17" s="21" customFormat="1" x14ac:dyDescent="0.25">
      <c r="A26" s="47"/>
      <c r="B26" s="26"/>
      <c r="C26" s="25"/>
      <c r="K26" s="22"/>
      <c r="L26" s="23"/>
      <c r="M26" s="23"/>
    </row>
    <row r="27" spans="1:17" s="21" customFormat="1" x14ac:dyDescent="0.25">
      <c r="A27" s="47"/>
      <c r="B27" s="26"/>
      <c r="C27" s="25"/>
      <c r="K27" s="22"/>
      <c r="L27" s="23"/>
      <c r="M27" s="23"/>
    </row>
    <row r="28" spans="1:17" s="21" customFormat="1" x14ac:dyDescent="0.25">
      <c r="A28" s="47"/>
      <c r="B28" s="26"/>
      <c r="C28" s="25"/>
      <c r="K28" s="22"/>
      <c r="L28" s="23"/>
      <c r="M28" s="23"/>
    </row>
    <row r="29" spans="1:17" s="21" customFormat="1" x14ac:dyDescent="0.25">
      <c r="A29" s="47"/>
      <c r="B29" s="26"/>
      <c r="C29" s="25"/>
      <c r="K29" s="22"/>
      <c r="L29" s="23"/>
      <c r="M29" s="23"/>
    </row>
    <row r="30" spans="1:17" s="21" customFormat="1" x14ac:dyDescent="0.25">
      <c r="A30" s="47"/>
      <c r="B30" s="26"/>
      <c r="C30" s="25"/>
      <c r="K30" s="22"/>
      <c r="L30" s="23"/>
      <c r="M30" s="23"/>
    </row>
    <row r="31" spans="1:17" s="21" customFormat="1" x14ac:dyDescent="0.25">
      <c r="A31" s="47"/>
      <c r="B31" s="26"/>
      <c r="C31" s="25"/>
      <c r="K31" s="22"/>
      <c r="L31" s="23"/>
      <c r="M31" s="23"/>
    </row>
    <row r="32" spans="1:17" s="21" customFormat="1" x14ac:dyDescent="0.25">
      <c r="A32" s="47"/>
      <c r="B32" s="26"/>
      <c r="C32" s="25"/>
      <c r="D32" s="23"/>
      <c r="K32" s="22"/>
      <c r="L32" s="23"/>
      <c r="M32" s="23"/>
    </row>
    <row r="33" spans="1:17" s="21" customFormat="1" x14ac:dyDescent="0.25">
      <c r="A33" s="47"/>
      <c r="B33" s="26"/>
      <c r="C33" s="25"/>
      <c r="D33" s="23"/>
      <c r="K33" s="22"/>
      <c r="L33" s="23"/>
      <c r="M33" s="23"/>
    </row>
    <row r="34" spans="1:17" s="21" customFormat="1" x14ac:dyDescent="0.25">
      <c r="A34" s="47"/>
      <c r="B34" s="26"/>
      <c r="C34" s="25"/>
      <c r="D34" s="23"/>
      <c r="K34" s="22"/>
      <c r="L34" s="23"/>
      <c r="M34" s="23"/>
    </row>
    <row r="35" spans="1:17" s="21" customFormat="1" x14ac:dyDescent="0.25">
      <c r="A35" s="47"/>
      <c r="B35" s="26"/>
      <c r="C35" s="25"/>
      <c r="D35" s="23"/>
      <c r="K35" s="22"/>
      <c r="L35" s="23"/>
      <c r="M35" s="23"/>
    </row>
    <row r="36" spans="1:17" s="21" customFormat="1" x14ac:dyDescent="0.25">
      <c r="A36" s="47"/>
      <c r="B36" s="26"/>
      <c r="C36" s="23"/>
      <c r="D36" s="23"/>
      <c r="K36" s="22"/>
      <c r="L36" s="23"/>
      <c r="M36" s="23"/>
      <c r="Q36" s="25"/>
    </row>
    <row r="37" spans="1:17" s="21" customFormat="1" x14ac:dyDescent="0.25">
      <c r="A37" s="47"/>
      <c r="B37" s="26"/>
      <c r="C37" s="23"/>
      <c r="D37" s="24"/>
      <c r="K37" s="22"/>
      <c r="L37" s="23"/>
      <c r="M37" s="23"/>
      <c r="Q37" s="25"/>
    </row>
    <row r="38" spans="1:17" s="21" customFormat="1" x14ac:dyDescent="0.25">
      <c r="A38" s="47"/>
      <c r="B38" s="26"/>
      <c r="C38" s="23"/>
      <c r="D38" s="23"/>
      <c r="K38" s="22"/>
      <c r="L38" s="23"/>
      <c r="M38" s="23"/>
      <c r="Q38" s="25"/>
    </row>
    <row r="39" spans="1:17" s="21" customFormat="1" x14ac:dyDescent="0.25">
      <c r="A39" s="47"/>
      <c r="B39" s="26"/>
      <c r="C39" s="23"/>
      <c r="D39" s="23"/>
      <c r="K39" s="22"/>
      <c r="L39" s="23"/>
      <c r="M39" s="23"/>
      <c r="Q39" s="25"/>
    </row>
    <row r="40" spans="1:17" s="21" customFormat="1" x14ac:dyDescent="0.25">
      <c r="A40" s="47"/>
      <c r="B40" s="26"/>
      <c r="C40" s="23"/>
      <c r="D40" s="23"/>
      <c r="K40" s="22"/>
      <c r="L40" s="23"/>
      <c r="M40" s="23"/>
      <c r="Q40" s="25"/>
    </row>
    <row r="41" spans="1:17" s="21" customFormat="1" x14ac:dyDescent="0.25">
      <c r="A41" s="47"/>
      <c r="B41" s="26"/>
      <c r="C41" s="23"/>
      <c r="D41" s="23"/>
      <c r="K41" s="22"/>
      <c r="L41" s="23"/>
      <c r="M41" s="23"/>
      <c r="Q41" s="25"/>
    </row>
    <row r="42" spans="1:17" s="21" customFormat="1" x14ac:dyDescent="0.25">
      <c r="A42" s="47"/>
      <c r="B42" s="26"/>
      <c r="C42" s="23"/>
      <c r="D42" s="23"/>
      <c r="K42" s="22"/>
      <c r="L42" s="23"/>
      <c r="M42" s="23"/>
      <c r="Q42" s="25"/>
    </row>
    <row r="43" spans="1:17" s="21" customFormat="1" x14ac:dyDescent="0.25">
      <c r="A43" s="47"/>
      <c r="B43" s="26"/>
      <c r="C43" s="23"/>
      <c r="D43" s="23"/>
      <c r="K43" s="22"/>
      <c r="L43" s="23"/>
      <c r="M43" s="23"/>
      <c r="Q43" s="25"/>
    </row>
    <row r="44" spans="1:17" s="21" customFormat="1" x14ac:dyDescent="0.25">
      <c r="A44" s="47"/>
      <c r="B44" s="26"/>
      <c r="C44" s="23"/>
      <c r="D44" s="23"/>
      <c r="K44" s="22"/>
      <c r="L44" s="23"/>
      <c r="M44" s="23"/>
      <c r="Q44" s="25"/>
    </row>
    <row r="45" spans="1:17" s="21" customFormat="1" x14ac:dyDescent="0.25">
      <c r="A45" s="47"/>
      <c r="B45" s="26"/>
      <c r="C45" s="23"/>
      <c r="D45" s="23"/>
      <c r="K45" s="22"/>
      <c r="L45" s="23"/>
      <c r="M45" s="23"/>
      <c r="Q45" s="25"/>
    </row>
    <row r="46" spans="1:17" s="21" customFormat="1" x14ac:dyDescent="0.25">
      <c r="A46" s="47"/>
      <c r="B46" s="26"/>
      <c r="C46" s="25"/>
      <c r="D46" s="23"/>
      <c r="K46" s="22"/>
      <c r="L46" s="23"/>
      <c r="M46" s="23"/>
    </row>
    <row r="47" spans="1:17" s="21" customFormat="1" x14ac:dyDescent="0.25">
      <c r="A47" s="47"/>
      <c r="B47" s="26"/>
      <c r="C47" s="25"/>
      <c r="D47" s="23"/>
      <c r="K47" s="22"/>
      <c r="L47" s="23"/>
      <c r="M47" s="23"/>
    </row>
    <row r="48" spans="1:17" s="21" customFormat="1" x14ac:dyDescent="0.25">
      <c r="A48" s="47"/>
      <c r="B48" s="26"/>
      <c r="C48" s="25"/>
      <c r="D48" s="23"/>
      <c r="K48" s="22"/>
      <c r="L48" s="23"/>
      <c r="M48" s="23"/>
    </row>
    <row r="49" spans="1:13" s="21" customFormat="1" x14ac:dyDescent="0.25">
      <c r="A49" s="47"/>
      <c r="B49" s="26"/>
      <c r="C49" s="25"/>
      <c r="D49" s="23"/>
      <c r="K49" s="22"/>
      <c r="L49" s="23"/>
      <c r="M49" s="23"/>
    </row>
    <row r="50" spans="1:13" s="21" customFormat="1" x14ac:dyDescent="0.25">
      <c r="A50" s="47"/>
      <c r="B50" s="26"/>
      <c r="C50" s="25"/>
      <c r="D50" s="23"/>
      <c r="K50" s="22"/>
      <c r="L50" s="23"/>
      <c r="M50" s="23"/>
    </row>
    <row r="51" spans="1:13" s="21" customFormat="1" x14ac:dyDescent="0.25">
      <c r="A51" s="47"/>
      <c r="B51" s="26"/>
      <c r="C51" s="25"/>
      <c r="D51" s="23"/>
      <c r="K51" s="22"/>
      <c r="L51" s="23"/>
      <c r="M51" s="23"/>
    </row>
    <row r="52" spans="1:13" s="21" customFormat="1" x14ac:dyDescent="0.25">
      <c r="A52" s="47"/>
      <c r="B52" s="26"/>
      <c r="C52" s="25"/>
      <c r="D52" s="23"/>
      <c r="K52" s="22"/>
      <c r="L52" s="23"/>
      <c r="M52" s="23"/>
    </row>
    <row r="53" spans="1:13" s="21" customFormat="1" x14ac:dyDescent="0.25">
      <c r="A53" s="47"/>
      <c r="B53" s="26"/>
      <c r="C53" s="25"/>
      <c r="D53" s="23"/>
      <c r="K53" s="22"/>
      <c r="L53" s="23"/>
      <c r="M53" s="23"/>
    </row>
    <row r="54" spans="1:13" s="21" customFormat="1" x14ac:dyDescent="0.25">
      <c r="A54" s="47"/>
      <c r="B54" s="26"/>
      <c r="C54" s="25"/>
      <c r="D54" s="23"/>
      <c r="K54" s="22"/>
      <c r="L54" s="23"/>
      <c r="M54" s="23"/>
    </row>
    <row r="55" spans="1:13" s="21" customFormat="1" x14ac:dyDescent="0.25">
      <c r="A55" s="47"/>
      <c r="B55" s="26"/>
      <c r="C55" s="25"/>
      <c r="D55" s="23"/>
      <c r="K55" s="22"/>
      <c r="L55" s="23"/>
      <c r="M55" s="23"/>
    </row>
    <row r="56" spans="1:13" s="21" customFormat="1" x14ac:dyDescent="0.25">
      <c r="A56" s="47"/>
      <c r="B56" s="26"/>
      <c r="C56" s="25"/>
      <c r="D56" s="23"/>
      <c r="K56" s="22"/>
      <c r="L56" s="23"/>
      <c r="M56" s="23"/>
    </row>
    <row r="57" spans="1:13" s="21" customFormat="1" x14ac:dyDescent="0.25">
      <c r="A57" s="47"/>
      <c r="B57" s="26"/>
      <c r="C57" s="25"/>
      <c r="D57" s="23"/>
      <c r="K57" s="22"/>
      <c r="L57" s="23"/>
      <c r="M57" s="23"/>
    </row>
    <row r="58" spans="1:13" s="21" customFormat="1" x14ac:dyDescent="0.25">
      <c r="A58" s="47"/>
      <c r="B58" s="26"/>
      <c r="C58" s="25"/>
      <c r="D58" s="23"/>
      <c r="K58" s="22"/>
      <c r="L58" s="23"/>
      <c r="M58" s="23"/>
    </row>
    <row r="59" spans="1:13" s="21" customFormat="1" x14ac:dyDescent="0.25">
      <c r="A59" s="47"/>
      <c r="B59" s="26"/>
      <c r="C59" s="25"/>
      <c r="D59" s="23"/>
      <c r="K59" s="22"/>
      <c r="L59" s="23"/>
      <c r="M59" s="23"/>
    </row>
    <row r="60" spans="1:13" s="21" customFormat="1" x14ac:dyDescent="0.25">
      <c r="A60" s="47"/>
      <c r="B60" s="26"/>
      <c r="C60" s="25"/>
      <c r="D60" s="23"/>
      <c r="K60" s="22"/>
      <c r="L60" s="23"/>
      <c r="M60" s="23"/>
    </row>
    <row r="61" spans="1:13" s="21" customFormat="1" x14ac:dyDescent="0.25">
      <c r="A61" s="47"/>
      <c r="B61" s="26"/>
      <c r="C61" s="25"/>
      <c r="D61" s="23"/>
      <c r="K61" s="22"/>
      <c r="L61" s="23"/>
      <c r="M61" s="23"/>
    </row>
    <row r="62" spans="1:13" s="21" customFormat="1" x14ac:dyDescent="0.25">
      <c r="A62" s="47"/>
      <c r="B62" s="26"/>
      <c r="C62" s="25"/>
      <c r="D62" s="23"/>
      <c r="K62" s="22"/>
      <c r="L62" s="23"/>
      <c r="M62" s="23"/>
    </row>
    <row r="63" spans="1:13" s="21" customFormat="1" x14ac:dyDescent="0.25">
      <c r="A63" s="47"/>
      <c r="B63" s="26"/>
      <c r="C63" s="25"/>
      <c r="D63" s="23"/>
      <c r="K63" s="22"/>
      <c r="L63" s="23"/>
      <c r="M63" s="23"/>
    </row>
    <row r="64" spans="1:13" s="21" customFormat="1" x14ac:dyDescent="0.25">
      <c r="A64" s="47"/>
      <c r="B64" s="26"/>
      <c r="C64" s="25"/>
      <c r="D64" s="23"/>
      <c r="K64" s="22"/>
      <c r="L64" s="23"/>
      <c r="M64" s="23"/>
    </row>
    <row r="65" spans="1:13" s="21" customFormat="1" x14ac:dyDescent="0.25">
      <c r="A65" s="47"/>
      <c r="B65" s="26"/>
      <c r="C65" s="25"/>
      <c r="D65" s="23"/>
      <c r="K65" s="22"/>
      <c r="L65" s="23"/>
      <c r="M65" s="23"/>
    </row>
    <row r="66" spans="1:13" s="21" customFormat="1" x14ac:dyDescent="0.25">
      <c r="A66" s="47"/>
      <c r="B66" s="26"/>
      <c r="C66" s="25"/>
      <c r="D66" s="23"/>
      <c r="K66" s="22"/>
      <c r="L66" s="23"/>
      <c r="M66" s="23"/>
    </row>
    <row r="67" spans="1:13" s="21" customFormat="1" x14ac:dyDescent="0.25">
      <c r="A67" s="47"/>
      <c r="B67" s="26"/>
      <c r="C67" s="25"/>
      <c r="D67" s="23"/>
      <c r="K67" s="22"/>
      <c r="L67" s="23"/>
      <c r="M67" s="23"/>
    </row>
    <row r="68" spans="1:13" s="21" customFormat="1" x14ac:dyDescent="0.25">
      <c r="A68" s="47"/>
      <c r="B68" s="26"/>
      <c r="C68" s="25"/>
      <c r="D68" s="23"/>
      <c r="K68" s="22"/>
      <c r="L68" s="23"/>
      <c r="M68" s="23"/>
    </row>
    <row r="69" spans="1:13" s="21" customFormat="1" x14ac:dyDescent="0.25">
      <c r="A69" s="47"/>
      <c r="B69" s="26"/>
      <c r="C69" s="25"/>
      <c r="D69" s="23"/>
      <c r="K69" s="22"/>
      <c r="L69" s="23"/>
      <c r="M69" s="23"/>
    </row>
    <row r="70" spans="1:13" s="21" customFormat="1" x14ac:dyDescent="0.25">
      <c r="A70" s="47"/>
      <c r="B70" s="26"/>
      <c r="C70" s="25"/>
      <c r="D70" s="23"/>
      <c r="K70" s="22"/>
      <c r="L70" s="23"/>
      <c r="M70" s="23"/>
    </row>
    <row r="71" spans="1:13" s="21" customFormat="1" x14ac:dyDescent="0.25">
      <c r="A71" s="47"/>
      <c r="B71" s="26"/>
      <c r="C71" s="25"/>
      <c r="D71" s="23"/>
      <c r="K71" s="22"/>
      <c r="L71" s="23"/>
      <c r="M71" s="23"/>
    </row>
    <row r="72" spans="1:13" s="21" customFormat="1" x14ac:dyDescent="0.25">
      <c r="A72" s="47"/>
      <c r="B72" s="26"/>
      <c r="C72" s="25"/>
      <c r="D72" s="23"/>
      <c r="K72" s="22"/>
      <c r="L72" s="23"/>
      <c r="M72" s="23"/>
    </row>
    <row r="73" spans="1:13" s="21" customFormat="1" x14ac:dyDescent="0.25">
      <c r="A73" s="47"/>
      <c r="B73" s="26"/>
      <c r="C73" s="25"/>
      <c r="D73" s="23"/>
      <c r="K73" s="22"/>
      <c r="L73" s="23"/>
      <c r="M73" s="23"/>
    </row>
    <row r="74" spans="1:13" s="21" customFormat="1" x14ac:dyDescent="0.25">
      <c r="A74" s="47"/>
      <c r="B74" s="26"/>
      <c r="C74" s="25"/>
      <c r="D74" s="23"/>
      <c r="K74" s="22"/>
      <c r="L74" s="23"/>
      <c r="M74" s="23"/>
    </row>
    <row r="75" spans="1:13" s="21" customFormat="1" x14ac:dyDescent="0.25">
      <c r="A75" s="47"/>
      <c r="B75" s="26"/>
      <c r="C75" s="25"/>
      <c r="D75" s="23"/>
      <c r="K75" s="22"/>
      <c r="L75" s="23"/>
    </row>
    <row r="76" spans="1:13" s="21" customFormat="1" x14ac:dyDescent="0.25">
      <c r="A76" s="47"/>
      <c r="B76" s="26"/>
      <c r="C76" s="25"/>
      <c r="D76" s="23"/>
      <c r="K76" s="22"/>
      <c r="L76" s="23"/>
    </row>
    <row r="77" spans="1:13" s="21" customFormat="1" x14ac:dyDescent="0.25">
      <c r="A77" s="47"/>
      <c r="B77" s="26"/>
      <c r="C77" s="25"/>
      <c r="D77" s="23"/>
      <c r="K77" s="22"/>
      <c r="L77" s="23"/>
    </row>
    <row r="78" spans="1:13" s="21" customFormat="1" x14ac:dyDescent="0.25">
      <c r="A78" s="47"/>
      <c r="B78" s="26"/>
      <c r="C78" s="25"/>
      <c r="D78" s="23"/>
      <c r="K78" s="22"/>
      <c r="L78" s="23"/>
    </row>
    <row r="79" spans="1:13" s="21" customFormat="1" x14ac:dyDescent="0.25">
      <c r="A79" s="47"/>
      <c r="B79" s="26"/>
      <c r="C79" s="25"/>
      <c r="D79" s="23"/>
      <c r="K79" s="22"/>
      <c r="L79" s="23"/>
    </row>
    <row r="80" spans="1:13" s="21" customFormat="1" x14ac:dyDescent="0.25">
      <c r="A80" s="47"/>
      <c r="B80" s="26"/>
      <c r="C80" s="25"/>
      <c r="D80" s="23"/>
      <c r="K80" s="22"/>
      <c r="L80" s="23"/>
    </row>
    <row r="81" spans="1:12" s="21" customFormat="1" x14ac:dyDescent="0.25">
      <c r="A81" s="47"/>
      <c r="B81" s="26"/>
      <c r="C81" s="25"/>
      <c r="D81" s="23"/>
      <c r="K81" s="22"/>
      <c r="L81" s="23"/>
    </row>
    <row r="82" spans="1:12" s="21" customFormat="1" x14ac:dyDescent="0.25">
      <c r="A82" s="47"/>
      <c r="B82" s="26"/>
      <c r="C82" s="25"/>
      <c r="D82" s="23"/>
      <c r="K82" s="22"/>
      <c r="L82" s="23"/>
    </row>
    <row r="83" spans="1:12" s="21" customFormat="1" x14ac:dyDescent="0.25">
      <c r="A83" s="47"/>
      <c r="B83" s="26"/>
      <c r="C83" s="25"/>
      <c r="D83" s="23"/>
      <c r="K83" s="22"/>
      <c r="L83" s="23"/>
    </row>
    <row r="84" spans="1:12" s="21" customFormat="1" x14ac:dyDescent="0.25">
      <c r="A84" s="31"/>
      <c r="B84" s="26"/>
      <c r="C84" s="25"/>
      <c r="D84" s="23"/>
      <c r="K84" s="22"/>
      <c r="L84" s="23"/>
    </row>
    <row r="85" spans="1:12" s="21" customFormat="1" x14ac:dyDescent="0.25">
      <c r="A85" s="47"/>
      <c r="C85" s="23"/>
      <c r="D85" s="23"/>
      <c r="K85" s="22"/>
      <c r="L85" s="23"/>
    </row>
    <row r="86" spans="1:12" s="21" customFormat="1" x14ac:dyDescent="0.25">
      <c r="A86" s="47"/>
      <c r="C86" s="23"/>
      <c r="D86" s="23"/>
      <c r="K86" s="22"/>
      <c r="L86" s="23"/>
    </row>
    <row r="87" spans="1:12" x14ac:dyDescent="0.25">
      <c r="A87" s="47"/>
    </row>
  </sheetData>
  <autoFilter ref="A10:R16" xr:uid="{AA01DED4-B026-452B-9ED0-BC862AE5F5E4}"/>
  <mergeCells count="1">
    <mergeCell ref="L9:Q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26E24-C3B8-40F3-96AC-55C96047005B}">
  <sheetPr>
    <tabColor indexed="43"/>
  </sheetPr>
  <dimension ref="A1:R87"/>
  <sheetViews>
    <sheetView topLeftCell="A2" zoomScale="113" zoomScaleNormal="115" workbookViewId="0">
      <pane xSplit="1" topLeftCell="B1" activePane="topRight" state="frozen"/>
      <selection pane="topRight" activeCell="B2" sqref="B2"/>
    </sheetView>
  </sheetViews>
  <sheetFormatPr defaultColWidth="9.08984375" defaultRowHeight="12.5" x14ac:dyDescent="0.25"/>
  <cols>
    <col min="1" max="1" width="38.54296875" style="6" bestFit="1" customWidth="1"/>
    <col min="2" max="2" width="12.90625" style="6" customWidth="1"/>
    <col min="3" max="3" width="27.08984375" style="4" customWidth="1"/>
    <col min="4" max="4" width="9.453125" style="4" customWidth="1"/>
    <col min="5" max="5" width="6.36328125" style="6" customWidth="1"/>
    <col min="6" max="6" width="6.6328125" style="6" customWidth="1"/>
    <col min="7" max="7" width="4.54296875" style="6" customWidth="1"/>
    <col min="8" max="8" width="21.54296875" style="6" customWidth="1"/>
    <col min="9" max="9" width="5.54296875" style="6" customWidth="1"/>
    <col min="10" max="10" width="10.54296875" style="6" customWidth="1"/>
    <col min="11" max="11" width="12.6328125" style="20" customWidth="1"/>
    <col min="12" max="12" width="15" style="4" customWidth="1"/>
    <col min="13" max="13" width="23.36328125" style="6" bestFit="1" customWidth="1"/>
    <col min="14" max="14" width="22.453125" style="6" bestFit="1" customWidth="1"/>
    <col min="15" max="15" width="31.90625" style="6" bestFit="1" customWidth="1"/>
    <col min="16" max="16" width="10.08984375" style="6" customWidth="1"/>
    <col min="17" max="17" width="31.08984375" style="6" customWidth="1"/>
    <col min="18" max="18" width="22.453125" style="6" bestFit="1" customWidth="1"/>
    <col min="19" max="16384" width="9.08984375" style="6"/>
  </cols>
  <sheetData>
    <row r="1" spans="1:18" s="5" customFormat="1" ht="17.5" x14ac:dyDescent="0.35">
      <c r="A1" s="17" t="s">
        <v>4</v>
      </c>
      <c r="B1" s="5" t="s">
        <v>279</v>
      </c>
      <c r="C1" s="3"/>
      <c r="D1" s="3"/>
      <c r="K1" s="19"/>
      <c r="L1" s="3"/>
    </row>
    <row r="2" spans="1:18" x14ac:dyDescent="0.25">
      <c r="A2" s="18" t="s">
        <v>5</v>
      </c>
      <c r="B2" s="27" t="s">
        <v>28</v>
      </c>
      <c r="C2" s="28"/>
    </row>
    <row r="3" spans="1:18" x14ac:dyDescent="0.25">
      <c r="A3" s="30" t="s">
        <v>47</v>
      </c>
      <c r="B3" s="27" t="s">
        <v>198</v>
      </c>
      <c r="C3" s="28"/>
    </row>
    <row r="4" spans="1:18" x14ac:dyDescent="0.25">
      <c r="A4" s="18" t="s">
        <v>6</v>
      </c>
      <c r="B4" s="16" t="s">
        <v>29</v>
      </c>
      <c r="C4" s="1"/>
    </row>
    <row r="5" spans="1:18" x14ac:dyDescent="0.25">
      <c r="A5" s="18" t="s">
        <v>7</v>
      </c>
      <c r="B5" s="15" t="s">
        <v>29</v>
      </c>
      <c r="D5" s="6"/>
      <c r="H5" s="4"/>
      <c r="I5" s="4"/>
    </row>
    <row r="6" spans="1:18" x14ac:dyDescent="0.25">
      <c r="A6" s="18" t="s">
        <v>3</v>
      </c>
      <c r="B6" s="31" t="s">
        <v>56</v>
      </c>
      <c r="C6" s="1"/>
    </row>
    <row r="7" spans="1:18" ht="13" thickBot="1" x14ac:dyDescent="0.3"/>
    <row r="8" spans="1:18" s="38" customFormat="1" ht="13" thickBot="1" x14ac:dyDescent="0.3">
      <c r="A8" s="32"/>
      <c r="B8" s="33"/>
      <c r="C8" s="34"/>
      <c r="D8" s="33"/>
      <c r="E8" s="35" t="s">
        <v>8</v>
      </c>
      <c r="F8" s="33"/>
      <c r="G8" s="33"/>
      <c r="H8" s="33"/>
      <c r="I8" s="33"/>
      <c r="J8" s="33"/>
      <c r="K8" s="36"/>
      <c r="L8" s="57" t="s">
        <v>9</v>
      </c>
      <c r="M8" s="58"/>
      <c r="N8" s="58"/>
      <c r="O8" s="58"/>
      <c r="P8" s="58"/>
      <c r="Q8" s="59"/>
      <c r="R8" s="37"/>
    </row>
    <row r="9" spans="1:18" s="38" customFormat="1" ht="20.149999999999999" customHeight="1" x14ac:dyDescent="0.25">
      <c r="A9" s="39" t="s">
        <v>10</v>
      </c>
      <c r="B9" s="40" t="s">
        <v>7</v>
      </c>
      <c r="C9" s="40" t="s">
        <v>3</v>
      </c>
      <c r="D9" s="41" t="s">
        <v>11</v>
      </c>
      <c r="E9" s="41" t="s">
        <v>12</v>
      </c>
      <c r="F9" s="42" t="s">
        <v>30</v>
      </c>
      <c r="G9" s="41" t="s">
        <v>13</v>
      </c>
      <c r="H9" s="41" t="s">
        <v>14</v>
      </c>
      <c r="I9" s="41" t="s">
        <v>15</v>
      </c>
      <c r="J9" s="42" t="s">
        <v>16</v>
      </c>
      <c r="K9" s="43" t="s">
        <v>17</v>
      </c>
      <c r="L9" s="40" t="s">
        <v>18</v>
      </c>
      <c r="M9" s="42" t="s">
        <v>19</v>
      </c>
      <c r="N9" s="42" t="s">
        <v>20</v>
      </c>
      <c r="O9" s="42" t="s">
        <v>21</v>
      </c>
      <c r="P9" s="42" t="s">
        <v>22</v>
      </c>
      <c r="Q9" s="42" t="s">
        <v>26</v>
      </c>
      <c r="R9" s="42" t="s">
        <v>23</v>
      </c>
    </row>
    <row r="10" spans="1:18" s="38" customFormat="1" hidden="1" x14ac:dyDescent="0.25">
      <c r="A10" s="44" t="s">
        <v>24</v>
      </c>
      <c r="B10" s="45" t="s">
        <v>25</v>
      </c>
      <c r="C10" s="45" t="s">
        <v>25</v>
      </c>
      <c r="D10" s="46"/>
      <c r="E10" s="46"/>
      <c r="F10" s="46"/>
      <c r="G10" s="46"/>
      <c r="H10" s="46" t="s">
        <v>25</v>
      </c>
      <c r="I10" s="46"/>
      <c r="J10" s="44"/>
      <c r="K10" s="44" t="s">
        <v>25</v>
      </c>
      <c r="L10" s="45" t="s">
        <v>25</v>
      </c>
      <c r="M10" s="44" t="s">
        <v>25</v>
      </c>
      <c r="N10" s="44" t="s">
        <v>25</v>
      </c>
      <c r="O10" s="44" t="s">
        <v>25</v>
      </c>
      <c r="P10" s="44" t="s">
        <v>25</v>
      </c>
      <c r="Q10" s="44" t="s">
        <v>25</v>
      </c>
      <c r="R10" s="44" t="s">
        <v>25</v>
      </c>
    </row>
    <row r="11" spans="1:18" s="49" customFormat="1" x14ac:dyDescent="0.25">
      <c r="A11" s="47" t="s">
        <v>57</v>
      </c>
      <c r="B11" s="26"/>
      <c r="C11" s="25" t="s">
        <v>77</v>
      </c>
      <c r="D11" s="21" t="s">
        <v>45</v>
      </c>
      <c r="E11" s="21">
        <v>20</v>
      </c>
      <c r="F11" s="21"/>
      <c r="G11" s="21"/>
      <c r="H11" s="21"/>
      <c r="I11" s="21" t="s">
        <v>27</v>
      </c>
      <c r="J11" s="21"/>
      <c r="K11" s="22"/>
      <c r="L11" s="23" t="s">
        <v>195</v>
      </c>
      <c r="M11" s="23" t="s">
        <v>198</v>
      </c>
      <c r="N11" s="21" t="s">
        <v>36</v>
      </c>
      <c r="O11" s="53" t="s">
        <v>133</v>
      </c>
      <c r="P11" s="21" t="s">
        <v>94</v>
      </c>
      <c r="Q11" s="23" t="s">
        <v>209</v>
      </c>
      <c r="R11" s="23"/>
    </row>
    <row r="12" spans="1:18" s="49" customFormat="1" ht="20.5" x14ac:dyDescent="0.25">
      <c r="A12" s="31" t="s">
        <v>58</v>
      </c>
      <c r="B12" s="26"/>
      <c r="C12" s="25" t="s">
        <v>78</v>
      </c>
      <c r="D12" s="21" t="s">
        <v>76</v>
      </c>
      <c r="E12" s="21">
        <v>38</v>
      </c>
      <c r="F12" s="21">
        <v>2</v>
      </c>
      <c r="G12" s="21"/>
      <c r="H12" s="21"/>
      <c r="I12" s="21"/>
      <c r="J12" s="21"/>
      <c r="K12" s="50"/>
      <c r="L12" s="23" t="s">
        <v>195</v>
      </c>
      <c r="M12" s="23" t="s">
        <v>198</v>
      </c>
      <c r="N12" s="21" t="s">
        <v>36</v>
      </c>
      <c r="O12" s="53" t="s">
        <v>134</v>
      </c>
      <c r="P12" s="21" t="s">
        <v>94</v>
      </c>
      <c r="Q12" s="25" t="s">
        <v>210</v>
      </c>
      <c r="R12" s="23"/>
    </row>
    <row r="13" spans="1:18" s="49" customFormat="1" ht="20.5" x14ac:dyDescent="0.25">
      <c r="A13" s="47" t="s">
        <v>59</v>
      </c>
      <c r="B13" s="26"/>
      <c r="C13" s="25" t="s">
        <v>79</v>
      </c>
      <c r="D13" s="21" t="s">
        <v>76</v>
      </c>
      <c r="E13" s="21">
        <v>38</v>
      </c>
      <c r="F13" s="21">
        <v>2</v>
      </c>
      <c r="G13" s="21"/>
      <c r="H13" s="21"/>
      <c r="I13" s="21"/>
      <c r="J13" s="21"/>
      <c r="K13" s="50"/>
      <c r="L13" s="23" t="s">
        <v>195</v>
      </c>
      <c r="M13" s="23" t="s">
        <v>198</v>
      </c>
      <c r="N13" s="21" t="s">
        <v>36</v>
      </c>
      <c r="O13" s="53" t="s">
        <v>135</v>
      </c>
      <c r="P13" s="21" t="s">
        <v>94</v>
      </c>
      <c r="Q13" s="25" t="s">
        <v>211</v>
      </c>
      <c r="R13" s="23"/>
    </row>
    <row r="14" spans="1:18" s="49" customFormat="1" ht="20.5" x14ac:dyDescent="0.25">
      <c r="A14" s="47" t="s">
        <v>60</v>
      </c>
      <c r="B14" s="25"/>
      <c r="C14" s="25" t="s">
        <v>80</v>
      </c>
      <c r="D14" s="21" t="s">
        <v>76</v>
      </c>
      <c r="E14" s="21">
        <v>38</v>
      </c>
      <c r="F14" s="21">
        <v>2</v>
      </c>
      <c r="G14" s="21"/>
      <c r="H14" s="21"/>
      <c r="I14" s="21"/>
      <c r="J14" s="21"/>
      <c r="K14" s="50"/>
      <c r="L14" s="23" t="s">
        <v>195</v>
      </c>
      <c r="M14" s="23" t="s">
        <v>198</v>
      </c>
      <c r="N14" s="21" t="s">
        <v>36</v>
      </c>
      <c r="O14" s="53" t="s">
        <v>136</v>
      </c>
      <c r="P14" s="21" t="s">
        <v>94</v>
      </c>
      <c r="Q14" s="25" t="s">
        <v>212</v>
      </c>
      <c r="R14" s="23"/>
    </row>
    <row r="15" spans="1:18" s="49" customFormat="1" ht="20.5" x14ac:dyDescent="0.25">
      <c r="A15" s="47" t="s">
        <v>61</v>
      </c>
      <c r="B15" s="25"/>
      <c r="C15" s="25" t="s">
        <v>81</v>
      </c>
      <c r="D15" s="21" t="s">
        <v>76</v>
      </c>
      <c r="E15" s="21">
        <v>38</v>
      </c>
      <c r="F15" s="21">
        <v>2</v>
      </c>
      <c r="G15" s="21"/>
      <c r="H15" s="21"/>
      <c r="I15" s="21"/>
      <c r="J15" s="21"/>
      <c r="K15" s="50"/>
      <c r="L15" s="23" t="s">
        <v>195</v>
      </c>
      <c r="M15" s="23" t="s">
        <v>198</v>
      </c>
      <c r="N15" s="21" t="s">
        <v>36</v>
      </c>
      <c r="O15" s="53" t="s">
        <v>137</v>
      </c>
      <c r="P15" s="21" t="s">
        <v>94</v>
      </c>
      <c r="Q15" s="25" t="s">
        <v>213</v>
      </c>
      <c r="R15" s="23"/>
    </row>
    <row r="16" spans="1:18" s="49" customFormat="1" ht="20.5" x14ac:dyDescent="0.25">
      <c r="A16" s="47" t="s">
        <v>62</v>
      </c>
      <c r="B16" s="26"/>
      <c r="C16" s="25" t="s">
        <v>82</v>
      </c>
      <c r="D16" s="21" t="s">
        <v>76</v>
      </c>
      <c r="E16" s="21">
        <v>38</v>
      </c>
      <c r="F16" s="21">
        <v>2</v>
      </c>
      <c r="G16" s="21"/>
      <c r="H16" s="21"/>
      <c r="I16" s="21"/>
      <c r="J16" s="21"/>
      <c r="K16" s="50"/>
      <c r="L16" s="23" t="s">
        <v>195</v>
      </c>
      <c r="M16" s="23" t="s">
        <v>198</v>
      </c>
      <c r="N16" s="21" t="s">
        <v>36</v>
      </c>
      <c r="O16" s="53" t="s">
        <v>138</v>
      </c>
      <c r="P16" s="21" t="s">
        <v>94</v>
      </c>
      <c r="Q16" s="25" t="s">
        <v>214</v>
      </c>
      <c r="R16" s="23"/>
    </row>
    <row r="17" spans="1:18" s="26" customFormat="1" ht="20.5" x14ac:dyDescent="0.25">
      <c r="A17" s="47" t="s">
        <v>63</v>
      </c>
      <c r="C17" s="25" t="s">
        <v>85</v>
      </c>
      <c r="D17" s="21" t="s">
        <v>76</v>
      </c>
      <c r="E17" s="21">
        <v>38</v>
      </c>
      <c r="F17" s="21">
        <v>2</v>
      </c>
      <c r="G17" s="21"/>
      <c r="H17" s="21"/>
      <c r="I17" s="21"/>
      <c r="J17" s="21"/>
      <c r="K17" s="50"/>
      <c r="L17" s="23" t="s">
        <v>195</v>
      </c>
      <c r="M17" s="23" t="s">
        <v>198</v>
      </c>
      <c r="N17" s="21" t="s">
        <v>36</v>
      </c>
      <c r="O17" s="53" t="s">
        <v>139</v>
      </c>
      <c r="P17" s="21" t="s">
        <v>94</v>
      </c>
      <c r="Q17" s="25" t="s">
        <v>215</v>
      </c>
      <c r="R17" s="23"/>
    </row>
    <row r="18" spans="1:18" s="21" customFormat="1" ht="20.5" x14ac:dyDescent="0.25">
      <c r="A18" s="47" t="s">
        <v>64</v>
      </c>
      <c r="B18" s="26"/>
      <c r="C18" s="25" t="s">
        <v>86</v>
      </c>
      <c r="D18" s="21" t="s">
        <v>76</v>
      </c>
      <c r="E18" s="21">
        <v>38</v>
      </c>
      <c r="F18" s="21">
        <v>2</v>
      </c>
      <c r="K18" s="22"/>
      <c r="L18" s="23" t="s">
        <v>195</v>
      </c>
      <c r="M18" s="23" t="s">
        <v>198</v>
      </c>
      <c r="N18" s="21" t="s">
        <v>36</v>
      </c>
      <c r="O18" s="53" t="s">
        <v>140</v>
      </c>
      <c r="P18" s="21" t="s">
        <v>94</v>
      </c>
      <c r="Q18" s="25" t="s">
        <v>216</v>
      </c>
    </row>
    <row r="19" spans="1:18" s="21" customFormat="1" ht="30.5" x14ac:dyDescent="0.25">
      <c r="A19" s="47" t="s">
        <v>65</v>
      </c>
      <c r="B19" s="26"/>
      <c r="C19" s="25" t="s">
        <v>188</v>
      </c>
      <c r="D19" s="21" t="s">
        <v>76</v>
      </c>
      <c r="E19" s="21">
        <v>38</v>
      </c>
      <c r="F19" s="21">
        <v>2</v>
      </c>
      <c r="K19" s="22"/>
      <c r="L19" s="23" t="s">
        <v>195</v>
      </c>
      <c r="M19" s="23" t="s">
        <v>198</v>
      </c>
      <c r="N19" s="21" t="s">
        <v>36</v>
      </c>
      <c r="O19" s="53" t="s">
        <v>141</v>
      </c>
      <c r="P19" s="21" t="s">
        <v>94</v>
      </c>
      <c r="Q19" s="25" t="s">
        <v>217</v>
      </c>
    </row>
    <row r="20" spans="1:18" s="21" customFormat="1" ht="30.5" x14ac:dyDescent="0.25">
      <c r="A20" s="47" t="s">
        <v>66</v>
      </c>
      <c r="B20" s="26"/>
      <c r="C20" s="25" t="s">
        <v>189</v>
      </c>
      <c r="D20" s="21" t="s">
        <v>76</v>
      </c>
      <c r="E20" s="21">
        <v>38</v>
      </c>
      <c r="F20" s="21">
        <v>2</v>
      </c>
      <c r="K20" s="22"/>
      <c r="L20" s="23" t="s">
        <v>195</v>
      </c>
      <c r="M20" s="23" t="s">
        <v>198</v>
      </c>
      <c r="N20" s="21" t="s">
        <v>36</v>
      </c>
      <c r="O20" s="53" t="s">
        <v>142</v>
      </c>
      <c r="P20" s="21" t="s">
        <v>94</v>
      </c>
      <c r="Q20" s="25" t="s">
        <v>218</v>
      </c>
    </row>
    <row r="21" spans="1:18" s="21" customFormat="1" ht="20.5" x14ac:dyDescent="0.25">
      <c r="A21" s="47" t="s">
        <v>67</v>
      </c>
      <c r="B21" s="26"/>
      <c r="C21" s="25" t="s">
        <v>83</v>
      </c>
      <c r="D21" s="21" t="s">
        <v>76</v>
      </c>
      <c r="E21" s="21">
        <v>38</v>
      </c>
      <c r="F21" s="21">
        <v>2</v>
      </c>
      <c r="K21" s="22"/>
      <c r="L21" s="23" t="s">
        <v>195</v>
      </c>
      <c r="M21" s="23" t="s">
        <v>198</v>
      </c>
      <c r="N21" s="21" t="s">
        <v>36</v>
      </c>
      <c r="O21" s="53" t="s">
        <v>143</v>
      </c>
      <c r="P21" s="21" t="s">
        <v>94</v>
      </c>
      <c r="Q21" s="25" t="s">
        <v>219</v>
      </c>
    </row>
    <row r="22" spans="1:18" s="21" customFormat="1" ht="30.5" x14ac:dyDescent="0.25">
      <c r="A22" s="47" t="s">
        <v>68</v>
      </c>
      <c r="B22" s="26"/>
      <c r="C22" s="25" t="s">
        <v>87</v>
      </c>
      <c r="D22" s="21" t="s">
        <v>76</v>
      </c>
      <c r="E22" s="21">
        <v>38</v>
      </c>
      <c r="F22" s="21">
        <v>2</v>
      </c>
      <c r="K22" s="22"/>
      <c r="L22" s="23" t="s">
        <v>195</v>
      </c>
      <c r="M22" s="23" t="s">
        <v>198</v>
      </c>
      <c r="N22" s="21" t="s">
        <v>36</v>
      </c>
      <c r="O22" s="53" t="s">
        <v>144</v>
      </c>
      <c r="P22" s="21" t="s">
        <v>94</v>
      </c>
      <c r="Q22" s="25" t="s">
        <v>220</v>
      </c>
    </row>
    <row r="23" spans="1:18" s="21" customFormat="1" ht="20.5" x14ac:dyDescent="0.25">
      <c r="A23" s="47" t="s">
        <v>69</v>
      </c>
      <c r="B23" s="26"/>
      <c r="C23" s="25" t="s">
        <v>84</v>
      </c>
      <c r="D23" s="21" t="s">
        <v>76</v>
      </c>
      <c r="E23" s="21">
        <v>38</v>
      </c>
      <c r="F23" s="21">
        <v>2</v>
      </c>
      <c r="K23" s="22"/>
      <c r="L23" s="23" t="s">
        <v>195</v>
      </c>
      <c r="M23" s="23" t="s">
        <v>198</v>
      </c>
      <c r="N23" s="21" t="s">
        <v>36</v>
      </c>
      <c r="O23" s="53" t="s">
        <v>145</v>
      </c>
      <c r="P23" s="21" t="s">
        <v>94</v>
      </c>
      <c r="Q23" s="25" t="s">
        <v>221</v>
      </c>
    </row>
    <row r="24" spans="1:18" s="21" customFormat="1" ht="30.5" x14ac:dyDescent="0.25">
      <c r="A24" s="47" t="s">
        <v>70</v>
      </c>
      <c r="B24" s="26"/>
      <c r="C24" s="25" t="s">
        <v>88</v>
      </c>
      <c r="D24" s="21" t="s">
        <v>76</v>
      </c>
      <c r="E24" s="21">
        <v>38</v>
      </c>
      <c r="F24" s="21">
        <v>0</v>
      </c>
      <c r="K24" s="22"/>
      <c r="L24" s="23" t="s">
        <v>195</v>
      </c>
      <c r="M24" s="23" t="s">
        <v>198</v>
      </c>
      <c r="N24" s="21" t="s">
        <v>36</v>
      </c>
      <c r="O24" s="53" t="s">
        <v>146</v>
      </c>
      <c r="P24" s="21" t="s">
        <v>94</v>
      </c>
      <c r="Q24" s="25" t="s">
        <v>222</v>
      </c>
    </row>
    <row r="25" spans="1:18" s="21" customFormat="1" ht="30.5" x14ac:dyDescent="0.25">
      <c r="A25" s="47" t="s">
        <v>71</v>
      </c>
      <c r="B25" s="26"/>
      <c r="C25" s="25" t="s">
        <v>89</v>
      </c>
      <c r="D25" s="21" t="s">
        <v>76</v>
      </c>
      <c r="E25" s="21">
        <v>38</v>
      </c>
      <c r="F25" s="21">
        <v>2</v>
      </c>
      <c r="K25" s="22"/>
      <c r="L25" s="23" t="s">
        <v>195</v>
      </c>
      <c r="M25" s="23" t="s">
        <v>198</v>
      </c>
      <c r="N25" s="21" t="s">
        <v>36</v>
      </c>
      <c r="O25" s="53" t="s">
        <v>147</v>
      </c>
      <c r="P25" s="21" t="s">
        <v>94</v>
      </c>
      <c r="Q25" s="25" t="s">
        <v>223</v>
      </c>
    </row>
    <row r="26" spans="1:18" s="21" customFormat="1" ht="20.5" x14ac:dyDescent="0.25">
      <c r="A26" s="47" t="s">
        <v>72</v>
      </c>
      <c r="B26" s="26"/>
      <c r="C26" s="25" t="s">
        <v>90</v>
      </c>
      <c r="D26" s="21" t="s">
        <v>76</v>
      </c>
      <c r="E26" s="21">
        <v>38</v>
      </c>
      <c r="F26" s="21">
        <v>2</v>
      </c>
      <c r="K26" s="22"/>
      <c r="L26" s="23" t="s">
        <v>195</v>
      </c>
      <c r="M26" s="23" t="s">
        <v>198</v>
      </c>
      <c r="N26" s="21" t="s">
        <v>36</v>
      </c>
      <c r="O26" s="53" t="s">
        <v>148</v>
      </c>
      <c r="P26" s="21" t="s">
        <v>94</v>
      </c>
      <c r="Q26" s="25" t="s">
        <v>224</v>
      </c>
    </row>
    <row r="27" spans="1:18" s="21" customFormat="1" ht="20.5" x14ac:dyDescent="0.25">
      <c r="A27" s="47" t="s">
        <v>73</v>
      </c>
      <c r="B27" s="26"/>
      <c r="C27" s="25" t="s">
        <v>91</v>
      </c>
      <c r="D27" s="21" t="s">
        <v>76</v>
      </c>
      <c r="E27" s="21">
        <v>38</v>
      </c>
      <c r="F27" s="21">
        <v>2</v>
      </c>
      <c r="K27" s="22"/>
      <c r="L27" s="23" t="s">
        <v>195</v>
      </c>
      <c r="M27" s="23" t="s">
        <v>198</v>
      </c>
      <c r="N27" s="21" t="s">
        <v>36</v>
      </c>
      <c r="O27" s="53" t="s">
        <v>149</v>
      </c>
      <c r="P27" s="21" t="s">
        <v>94</v>
      </c>
      <c r="Q27" s="25" t="s">
        <v>225</v>
      </c>
    </row>
    <row r="28" spans="1:18" s="21" customFormat="1" ht="20.5" x14ac:dyDescent="0.25">
      <c r="A28" s="47" t="s">
        <v>74</v>
      </c>
      <c r="B28" s="26"/>
      <c r="C28" s="25" t="s">
        <v>92</v>
      </c>
      <c r="D28" s="21" t="s">
        <v>76</v>
      </c>
      <c r="E28" s="21">
        <v>38</v>
      </c>
      <c r="F28" s="21">
        <v>2</v>
      </c>
      <c r="K28" s="22"/>
      <c r="L28" s="23" t="s">
        <v>195</v>
      </c>
      <c r="M28" s="23" t="s">
        <v>198</v>
      </c>
      <c r="N28" s="21" t="s">
        <v>36</v>
      </c>
      <c r="O28" s="53" t="s">
        <v>150</v>
      </c>
      <c r="P28" s="21" t="s">
        <v>94</v>
      </c>
      <c r="Q28" s="25" t="s">
        <v>226</v>
      </c>
    </row>
    <row r="29" spans="1:18" s="21" customFormat="1" ht="20.5" x14ac:dyDescent="0.25">
      <c r="A29" s="47" t="s">
        <v>75</v>
      </c>
      <c r="B29" s="26"/>
      <c r="C29" s="25" t="s">
        <v>93</v>
      </c>
      <c r="D29" s="21" t="s">
        <v>76</v>
      </c>
      <c r="E29" s="21">
        <v>38</v>
      </c>
      <c r="F29" s="21">
        <v>2</v>
      </c>
      <c r="K29" s="22"/>
      <c r="L29" s="23" t="s">
        <v>195</v>
      </c>
      <c r="M29" s="23" t="s">
        <v>198</v>
      </c>
      <c r="N29" s="21" t="s">
        <v>36</v>
      </c>
      <c r="O29" s="53" t="s">
        <v>151</v>
      </c>
      <c r="P29" s="21" t="s">
        <v>94</v>
      </c>
      <c r="Q29" s="25" t="s">
        <v>227</v>
      </c>
    </row>
    <row r="30" spans="1:18" s="21" customFormat="1" ht="20.5" x14ac:dyDescent="0.25">
      <c r="A30" s="31" t="s">
        <v>32</v>
      </c>
      <c r="B30" s="26"/>
      <c r="C30" s="25" t="s">
        <v>41</v>
      </c>
      <c r="D30" s="21" t="s">
        <v>44</v>
      </c>
      <c r="I30" s="21" t="s">
        <v>27</v>
      </c>
      <c r="K30" s="22"/>
      <c r="L30" s="23" t="s">
        <v>195</v>
      </c>
      <c r="M30" s="23" t="s">
        <v>198</v>
      </c>
      <c r="N30" s="21" t="s">
        <v>36</v>
      </c>
      <c r="O30" s="53" t="s">
        <v>32</v>
      </c>
      <c r="P30" s="21" t="s">
        <v>44</v>
      </c>
      <c r="Q30" s="25" t="s">
        <v>228</v>
      </c>
    </row>
    <row r="31" spans="1:18" s="21" customFormat="1" ht="20.5" x14ac:dyDescent="0.25">
      <c r="A31" s="31" t="s">
        <v>33</v>
      </c>
      <c r="B31" s="26"/>
      <c r="C31" s="25" t="s">
        <v>42</v>
      </c>
      <c r="D31" s="21" t="s">
        <v>44</v>
      </c>
      <c r="I31" s="21" t="s">
        <v>27</v>
      </c>
      <c r="K31" s="22"/>
      <c r="L31" s="23" t="s">
        <v>195</v>
      </c>
      <c r="M31" s="23" t="s">
        <v>198</v>
      </c>
      <c r="N31" s="21" t="s">
        <v>36</v>
      </c>
      <c r="O31" s="53" t="s">
        <v>33</v>
      </c>
      <c r="P31" s="21" t="s">
        <v>44</v>
      </c>
      <c r="Q31" s="25" t="s">
        <v>229</v>
      </c>
    </row>
    <row r="32" spans="1:18" s="21" customFormat="1" x14ac:dyDescent="0.25">
      <c r="A32" s="47" t="s">
        <v>39</v>
      </c>
      <c r="B32" s="26"/>
      <c r="C32" s="25" t="s">
        <v>187</v>
      </c>
      <c r="D32" s="21" t="s">
        <v>45</v>
      </c>
      <c r="E32" s="21">
        <v>100</v>
      </c>
      <c r="I32" s="21" t="s">
        <v>27</v>
      </c>
      <c r="K32" s="22"/>
      <c r="L32" s="23" t="s">
        <v>195</v>
      </c>
      <c r="M32" s="23" t="s">
        <v>198</v>
      </c>
      <c r="N32" s="21" t="s">
        <v>36</v>
      </c>
      <c r="O32" s="53" t="s">
        <v>39</v>
      </c>
      <c r="P32" s="21" t="s">
        <v>194</v>
      </c>
      <c r="Q32" s="25" t="s">
        <v>230</v>
      </c>
    </row>
    <row r="33" spans="1:18" s="21" customFormat="1" ht="20.5" x14ac:dyDescent="0.25">
      <c r="A33" s="47" t="s">
        <v>34</v>
      </c>
      <c r="B33" s="26"/>
      <c r="C33" s="25" t="s">
        <v>49</v>
      </c>
      <c r="D33" s="21" t="s">
        <v>50</v>
      </c>
      <c r="I33" s="21" t="s">
        <v>27</v>
      </c>
      <c r="K33" s="22"/>
      <c r="L33" s="23" t="s">
        <v>195</v>
      </c>
      <c r="M33" s="23" t="s">
        <v>198</v>
      </c>
      <c r="N33" s="21" t="s">
        <v>36</v>
      </c>
      <c r="O33" s="53" t="s">
        <v>34</v>
      </c>
      <c r="P33" s="21" t="s">
        <v>44</v>
      </c>
      <c r="Q33" s="25" t="s">
        <v>196</v>
      </c>
      <c r="R33" s="23"/>
    </row>
    <row r="34" spans="1:18" s="21" customFormat="1" ht="20.5" x14ac:dyDescent="0.25">
      <c r="A34" s="47" t="s">
        <v>35</v>
      </c>
      <c r="B34" s="26"/>
      <c r="C34" s="23" t="s">
        <v>43</v>
      </c>
      <c r="D34" s="23" t="s">
        <v>45</v>
      </c>
      <c r="E34" s="21">
        <v>50</v>
      </c>
      <c r="I34" s="21" t="s">
        <v>27</v>
      </c>
      <c r="K34" s="22"/>
      <c r="L34" s="23" t="s">
        <v>195</v>
      </c>
      <c r="M34" s="23" t="s">
        <v>198</v>
      </c>
      <c r="N34" s="21" t="s">
        <v>48</v>
      </c>
      <c r="O34" s="21" t="s">
        <v>48</v>
      </c>
      <c r="P34" s="21" t="s">
        <v>48</v>
      </c>
      <c r="Q34" s="25" t="s">
        <v>231</v>
      </c>
      <c r="R34" s="21" t="s">
        <v>54</v>
      </c>
    </row>
    <row r="35" spans="1:18" s="21" customFormat="1" ht="20.5" x14ac:dyDescent="0.25">
      <c r="A35" s="31" t="s">
        <v>191</v>
      </c>
      <c r="B35" s="26"/>
      <c r="C35" s="25" t="s">
        <v>190</v>
      </c>
      <c r="D35" s="21" t="s">
        <v>45</v>
      </c>
      <c r="E35" s="21">
        <v>36</v>
      </c>
      <c r="I35" s="21" t="s">
        <v>27</v>
      </c>
      <c r="K35" s="52" t="s">
        <v>192</v>
      </c>
      <c r="L35" s="23" t="s">
        <v>195</v>
      </c>
      <c r="M35" s="23" t="s">
        <v>198</v>
      </c>
      <c r="N35" s="21" t="s">
        <v>36</v>
      </c>
      <c r="O35" s="53" t="s">
        <v>191</v>
      </c>
      <c r="P35" s="21" t="s">
        <v>193</v>
      </c>
      <c r="Q35" s="25" t="s">
        <v>232</v>
      </c>
    </row>
    <row r="36" spans="1:18" s="21" customFormat="1" x14ac:dyDescent="0.25">
      <c r="A36" s="47"/>
      <c r="B36" s="26"/>
      <c r="C36" s="23"/>
      <c r="D36" s="23"/>
      <c r="K36" s="22"/>
      <c r="L36" s="23"/>
      <c r="M36" s="23"/>
      <c r="Q36" s="25"/>
    </row>
    <row r="37" spans="1:18" s="21" customFormat="1" x14ac:dyDescent="0.25">
      <c r="A37" s="47"/>
      <c r="B37" s="26"/>
      <c r="C37" s="23"/>
      <c r="D37" s="23"/>
      <c r="K37" s="22"/>
      <c r="L37" s="23"/>
      <c r="M37" s="23"/>
      <c r="Q37" s="25"/>
    </row>
    <row r="38" spans="1:18" s="21" customFormat="1" x14ac:dyDescent="0.25">
      <c r="A38" s="47"/>
      <c r="B38" s="26"/>
      <c r="C38" s="23"/>
      <c r="D38" s="23"/>
      <c r="K38" s="22"/>
      <c r="L38" s="23"/>
      <c r="M38" s="23"/>
      <c r="Q38" s="25"/>
    </row>
    <row r="39" spans="1:18" s="21" customFormat="1" x14ac:dyDescent="0.25">
      <c r="A39" s="47"/>
      <c r="B39" s="26"/>
      <c r="C39" s="23"/>
      <c r="D39" s="23"/>
      <c r="K39" s="22"/>
      <c r="L39" s="23"/>
      <c r="M39" s="23"/>
      <c r="Q39" s="25"/>
    </row>
    <row r="40" spans="1:18" s="21" customFormat="1" x14ac:dyDescent="0.25">
      <c r="A40" s="47"/>
      <c r="B40" s="26"/>
      <c r="C40" s="23"/>
      <c r="D40" s="23"/>
      <c r="K40" s="22"/>
      <c r="L40" s="23"/>
      <c r="M40" s="23"/>
      <c r="Q40" s="25"/>
    </row>
    <row r="41" spans="1:18" s="21" customFormat="1" x14ac:dyDescent="0.25">
      <c r="A41" s="47"/>
      <c r="B41" s="26"/>
      <c r="C41" s="23"/>
      <c r="D41" s="23"/>
      <c r="K41" s="22"/>
      <c r="L41" s="23"/>
      <c r="M41" s="23"/>
      <c r="Q41" s="25"/>
    </row>
    <row r="42" spans="1:18" s="21" customFormat="1" x14ac:dyDescent="0.25">
      <c r="A42" s="47"/>
      <c r="B42" s="26"/>
      <c r="C42" s="23"/>
      <c r="D42" s="23"/>
      <c r="K42" s="22"/>
      <c r="L42" s="23"/>
      <c r="M42" s="23"/>
      <c r="Q42" s="25"/>
    </row>
    <row r="43" spans="1:18" s="21" customFormat="1" x14ac:dyDescent="0.25">
      <c r="A43" s="47"/>
      <c r="B43" s="26"/>
      <c r="C43" s="23"/>
      <c r="D43" s="23"/>
      <c r="K43" s="22"/>
      <c r="L43" s="23"/>
      <c r="M43" s="23"/>
      <c r="Q43" s="25"/>
    </row>
    <row r="44" spans="1:18" s="21" customFormat="1" x14ac:dyDescent="0.25">
      <c r="A44" s="47"/>
      <c r="B44" s="26"/>
      <c r="C44" s="23"/>
      <c r="D44" s="23"/>
      <c r="K44" s="22"/>
      <c r="L44" s="23"/>
      <c r="M44" s="23"/>
      <c r="Q44" s="25"/>
    </row>
    <row r="45" spans="1:18" s="21" customFormat="1" x14ac:dyDescent="0.25">
      <c r="A45" s="47"/>
      <c r="B45" s="26"/>
      <c r="C45" s="23"/>
      <c r="D45" s="23"/>
      <c r="K45" s="22"/>
      <c r="L45" s="23"/>
      <c r="M45" s="23"/>
      <c r="Q45" s="25"/>
    </row>
    <row r="46" spans="1:18" s="21" customFormat="1" x14ac:dyDescent="0.25">
      <c r="A46" s="47"/>
      <c r="B46" s="26"/>
      <c r="C46" s="25"/>
      <c r="D46" s="23"/>
      <c r="K46" s="22"/>
      <c r="L46" s="23"/>
      <c r="M46" s="23"/>
      <c r="Q46" s="25"/>
    </row>
    <row r="47" spans="1:18" s="21" customFormat="1" x14ac:dyDescent="0.25">
      <c r="A47" s="47"/>
      <c r="B47" s="26"/>
      <c r="C47" s="25"/>
      <c r="D47" s="23"/>
      <c r="K47" s="22"/>
      <c r="L47" s="23"/>
      <c r="M47" s="23"/>
    </row>
    <row r="48" spans="1:18" s="21" customFormat="1" x14ac:dyDescent="0.25">
      <c r="A48" s="47"/>
      <c r="B48" s="26"/>
      <c r="C48" s="25"/>
      <c r="D48" s="23"/>
      <c r="K48" s="22"/>
      <c r="L48" s="23"/>
      <c r="M48" s="23"/>
    </row>
    <row r="49" spans="1:13" s="21" customFormat="1" x14ac:dyDescent="0.25">
      <c r="A49" s="47"/>
      <c r="B49" s="26"/>
      <c r="C49" s="25"/>
      <c r="D49" s="23"/>
      <c r="K49" s="22"/>
      <c r="L49" s="23"/>
      <c r="M49" s="23"/>
    </row>
    <row r="50" spans="1:13" s="21" customFormat="1" x14ac:dyDescent="0.25">
      <c r="A50" s="47"/>
      <c r="B50" s="26"/>
      <c r="C50" s="25"/>
      <c r="D50" s="23"/>
      <c r="K50" s="22"/>
      <c r="L50" s="23"/>
      <c r="M50" s="23"/>
    </row>
    <row r="51" spans="1:13" s="21" customFormat="1" x14ac:dyDescent="0.25">
      <c r="A51" s="47"/>
      <c r="B51" s="26"/>
      <c r="C51" s="25"/>
      <c r="D51" s="23"/>
      <c r="K51" s="22"/>
      <c r="L51" s="23"/>
      <c r="M51" s="23"/>
    </row>
    <row r="52" spans="1:13" s="21" customFormat="1" x14ac:dyDescent="0.25">
      <c r="A52" s="47"/>
      <c r="B52" s="26"/>
      <c r="C52" s="25"/>
      <c r="D52" s="23"/>
      <c r="K52" s="22"/>
      <c r="L52" s="23"/>
      <c r="M52" s="23"/>
    </row>
    <row r="53" spans="1:13" s="21" customFormat="1" x14ac:dyDescent="0.25">
      <c r="A53" s="47"/>
      <c r="B53" s="26"/>
      <c r="C53" s="25"/>
      <c r="D53" s="23"/>
      <c r="K53" s="22"/>
      <c r="L53" s="23"/>
      <c r="M53" s="23"/>
    </row>
    <row r="54" spans="1:13" s="21" customFormat="1" x14ac:dyDescent="0.25">
      <c r="A54" s="47"/>
      <c r="B54" s="26"/>
      <c r="C54" s="25"/>
      <c r="D54" s="23"/>
      <c r="K54" s="22"/>
      <c r="L54" s="23"/>
      <c r="M54" s="23"/>
    </row>
    <row r="55" spans="1:13" s="21" customFormat="1" x14ac:dyDescent="0.25">
      <c r="A55" s="47"/>
      <c r="B55" s="26"/>
      <c r="C55" s="25"/>
      <c r="D55" s="23"/>
      <c r="K55" s="22"/>
      <c r="L55" s="23"/>
      <c r="M55" s="23"/>
    </row>
    <row r="56" spans="1:13" s="21" customFormat="1" x14ac:dyDescent="0.25">
      <c r="A56" s="47"/>
      <c r="B56" s="26"/>
      <c r="C56" s="25"/>
      <c r="D56" s="23"/>
      <c r="K56" s="22"/>
      <c r="L56" s="23"/>
      <c r="M56" s="23"/>
    </row>
    <row r="57" spans="1:13" s="21" customFormat="1" x14ac:dyDescent="0.25">
      <c r="A57" s="47"/>
      <c r="B57" s="26"/>
      <c r="C57" s="25"/>
      <c r="D57" s="23"/>
      <c r="K57" s="22"/>
      <c r="L57" s="23"/>
      <c r="M57" s="23"/>
    </row>
    <row r="58" spans="1:13" s="21" customFormat="1" x14ac:dyDescent="0.25">
      <c r="A58" s="47"/>
      <c r="B58" s="26"/>
      <c r="C58" s="25"/>
      <c r="D58" s="23"/>
      <c r="K58" s="22"/>
      <c r="L58" s="23"/>
      <c r="M58" s="23"/>
    </row>
    <row r="59" spans="1:13" s="21" customFormat="1" x14ac:dyDescent="0.25">
      <c r="A59" s="47"/>
      <c r="B59" s="26"/>
      <c r="C59" s="25"/>
      <c r="D59" s="23"/>
      <c r="K59" s="22"/>
      <c r="L59" s="23"/>
      <c r="M59" s="23"/>
    </row>
    <row r="60" spans="1:13" s="21" customFormat="1" x14ac:dyDescent="0.25">
      <c r="A60" s="47"/>
      <c r="B60" s="26"/>
      <c r="C60" s="25"/>
      <c r="D60" s="23"/>
      <c r="K60" s="22"/>
      <c r="L60" s="23"/>
      <c r="M60" s="23"/>
    </row>
    <row r="61" spans="1:13" s="21" customFormat="1" x14ac:dyDescent="0.25">
      <c r="A61" s="47"/>
      <c r="B61" s="26"/>
      <c r="C61" s="25"/>
      <c r="D61" s="23"/>
      <c r="K61" s="22"/>
      <c r="L61" s="23"/>
      <c r="M61" s="23"/>
    </row>
    <row r="62" spans="1:13" s="21" customFormat="1" x14ac:dyDescent="0.25">
      <c r="A62" s="47"/>
      <c r="B62" s="26"/>
      <c r="C62" s="25"/>
      <c r="D62" s="23"/>
      <c r="K62" s="22"/>
      <c r="L62" s="23"/>
      <c r="M62" s="23"/>
    </row>
    <row r="63" spans="1:13" s="21" customFormat="1" x14ac:dyDescent="0.25">
      <c r="A63" s="47"/>
      <c r="B63" s="26"/>
      <c r="C63" s="25"/>
      <c r="D63" s="23"/>
      <c r="K63" s="22"/>
      <c r="L63" s="23"/>
      <c r="M63" s="23"/>
    </row>
    <row r="64" spans="1:13" s="21" customFormat="1" x14ac:dyDescent="0.25">
      <c r="A64" s="47"/>
      <c r="B64" s="26"/>
      <c r="C64" s="25"/>
      <c r="D64" s="23"/>
      <c r="K64" s="22"/>
      <c r="L64" s="23"/>
      <c r="M64" s="23"/>
    </row>
    <row r="65" spans="1:13" s="21" customFormat="1" x14ac:dyDescent="0.25">
      <c r="A65" s="47"/>
      <c r="B65" s="26"/>
      <c r="C65" s="25"/>
      <c r="D65" s="23"/>
      <c r="K65" s="22"/>
      <c r="L65" s="23"/>
      <c r="M65" s="23"/>
    </row>
    <row r="66" spans="1:13" s="21" customFormat="1" x14ac:dyDescent="0.25">
      <c r="A66" s="47"/>
      <c r="B66" s="26"/>
      <c r="C66" s="25"/>
      <c r="D66" s="23"/>
      <c r="K66" s="22"/>
      <c r="L66" s="23"/>
      <c r="M66" s="23"/>
    </row>
    <row r="67" spans="1:13" s="21" customFormat="1" x14ac:dyDescent="0.25">
      <c r="A67" s="47"/>
      <c r="B67" s="26"/>
      <c r="C67" s="25"/>
      <c r="D67" s="23"/>
      <c r="K67" s="22"/>
      <c r="L67" s="23"/>
      <c r="M67" s="23"/>
    </row>
    <row r="68" spans="1:13" s="21" customFormat="1" x14ac:dyDescent="0.25">
      <c r="A68" s="47"/>
      <c r="B68" s="26"/>
      <c r="C68" s="25"/>
      <c r="D68" s="23"/>
      <c r="K68" s="22"/>
      <c r="L68" s="23"/>
      <c r="M68" s="23"/>
    </row>
    <row r="69" spans="1:13" s="21" customFormat="1" x14ac:dyDescent="0.25">
      <c r="A69" s="47"/>
      <c r="B69" s="26"/>
      <c r="C69" s="25"/>
      <c r="D69" s="23"/>
      <c r="K69" s="22"/>
      <c r="L69" s="23"/>
      <c r="M69" s="23"/>
    </row>
    <row r="70" spans="1:13" s="21" customFormat="1" x14ac:dyDescent="0.25">
      <c r="A70" s="47"/>
      <c r="B70" s="26"/>
      <c r="C70" s="25"/>
      <c r="D70" s="23"/>
      <c r="K70" s="22"/>
      <c r="L70" s="23"/>
      <c r="M70" s="23"/>
    </row>
    <row r="71" spans="1:13" s="21" customFormat="1" x14ac:dyDescent="0.25">
      <c r="A71" s="47"/>
      <c r="B71" s="26"/>
      <c r="C71" s="25"/>
      <c r="D71" s="23"/>
      <c r="K71" s="22"/>
      <c r="L71" s="23"/>
      <c r="M71" s="23"/>
    </row>
    <row r="72" spans="1:13" s="21" customFormat="1" x14ac:dyDescent="0.25">
      <c r="A72" s="47"/>
      <c r="B72" s="26"/>
      <c r="C72" s="25"/>
      <c r="D72" s="23"/>
      <c r="K72" s="22"/>
      <c r="L72" s="23"/>
      <c r="M72" s="23"/>
    </row>
    <row r="73" spans="1:13" s="21" customFormat="1" x14ac:dyDescent="0.25">
      <c r="A73" s="47"/>
      <c r="B73" s="26"/>
      <c r="C73" s="25"/>
      <c r="D73" s="23"/>
      <c r="K73" s="22"/>
      <c r="L73" s="23"/>
      <c r="M73" s="23"/>
    </row>
    <row r="74" spans="1:13" s="21" customFormat="1" x14ac:dyDescent="0.25">
      <c r="A74" s="47"/>
      <c r="B74" s="26"/>
      <c r="C74" s="25"/>
      <c r="D74" s="23"/>
      <c r="K74" s="22"/>
      <c r="L74" s="23"/>
      <c r="M74" s="23"/>
    </row>
    <row r="75" spans="1:13" s="21" customFormat="1" x14ac:dyDescent="0.25">
      <c r="A75" s="47"/>
      <c r="B75" s="26"/>
      <c r="C75" s="25"/>
      <c r="D75" s="23"/>
      <c r="K75" s="22"/>
      <c r="L75" s="23"/>
    </row>
    <row r="76" spans="1:13" s="21" customFormat="1" x14ac:dyDescent="0.25">
      <c r="A76" s="47"/>
      <c r="B76" s="26"/>
      <c r="C76" s="25"/>
      <c r="D76" s="23"/>
      <c r="K76" s="22"/>
      <c r="L76" s="23"/>
    </row>
    <row r="77" spans="1:13" s="21" customFormat="1" x14ac:dyDescent="0.25">
      <c r="A77" s="47"/>
      <c r="B77" s="26"/>
      <c r="C77" s="25"/>
      <c r="D77" s="23"/>
      <c r="K77" s="22"/>
      <c r="L77" s="23"/>
    </row>
    <row r="78" spans="1:13" s="21" customFormat="1" x14ac:dyDescent="0.25">
      <c r="A78" s="47"/>
      <c r="B78" s="26"/>
      <c r="C78" s="25"/>
      <c r="D78" s="23"/>
      <c r="K78" s="22"/>
      <c r="L78" s="23"/>
    </row>
    <row r="79" spans="1:13" s="21" customFormat="1" x14ac:dyDescent="0.25">
      <c r="A79" s="47"/>
      <c r="B79" s="26"/>
      <c r="C79" s="25"/>
      <c r="D79" s="23"/>
      <c r="K79" s="22"/>
      <c r="L79" s="23"/>
    </row>
    <row r="80" spans="1:13" s="21" customFormat="1" x14ac:dyDescent="0.25">
      <c r="A80" s="47"/>
      <c r="B80" s="26"/>
      <c r="C80" s="25"/>
      <c r="D80" s="23"/>
      <c r="K80" s="22"/>
      <c r="L80" s="23"/>
    </row>
    <row r="81" spans="1:17" s="21" customFormat="1" x14ac:dyDescent="0.25">
      <c r="A81" s="47"/>
      <c r="B81" s="26"/>
      <c r="C81" s="25"/>
      <c r="D81" s="23"/>
      <c r="K81" s="22"/>
      <c r="L81" s="23"/>
    </row>
    <row r="82" spans="1:17" s="21" customFormat="1" x14ac:dyDescent="0.25">
      <c r="A82" s="47"/>
      <c r="B82" s="26"/>
      <c r="C82" s="25"/>
      <c r="D82" s="23"/>
      <c r="K82" s="22"/>
      <c r="L82" s="23"/>
    </row>
    <row r="83" spans="1:17" s="21" customFormat="1" x14ac:dyDescent="0.25">
      <c r="A83" s="47"/>
      <c r="B83" s="26"/>
      <c r="C83" s="25"/>
      <c r="D83" s="23"/>
      <c r="K83" s="22"/>
      <c r="L83" s="23"/>
    </row>
    <row r="84" spans="1:17" s="21" customFormat="1" x14ac:dyDescent="0.25">
      <c r="A84" s="31"/>
      <c r="B84" s="26"/>
      <c r="C84" s="25"/>
      <c r="D84" s="23"/>
      <c r="K84" s="22"/>
      <c r="L84" s="23"/>
    </row>
    <row r="85" spans="1:17" s="21" customFormat="1" x14ac:dyDescent="0.25">
      <c r="A85" s="47"/>
      <c r="C85" s="23"/>
      <c r="D85" s="23"/>
      <c r="K85" s="22"/>
      <c r="L85" s="23"/>
    </row>
    <row r="86" spans="1:17" s="21" customFormat="1" x14ac:dyDescent="0.25">
      <c r="A86" s="47"/>
      <c r="C86" s="23"/>
      <c r="D86" s="23"/>
      <c r="K86" s="22"/>
      <c r="L86" s="23"/>
    </row>
    <row r="87" spans="1:17" x14ac:dyDescent="0.25">
      <c r="A87" s="47"/>
      <c r="Q87" s="21"/>
    </row>
  </sheetData>
  <mergeCells count="1">
    <mergeCell ref="L8:Q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D50FA-2279-4155-AE77-B438B0A474A0}">
  <sheetPr>
    <tabColor indexed="43"/>
  </sheetPr>
  <dimension ref="A1:S87"/>
  <sheetViews>
    <sheetView zoomScale="115" zoomScaleNormal="115" workbookViewId="0">
      <pane xSplit="1" topLeftCell="B1" activePane="topRight" state="frozen"/>
      <selection activeCell="A29" sqref="A29"/>
      <selection pane="topRight" activeCell="B1" sqref="B1"/>
    </sheetView>
  </sheetViews>
  <sheetFormatPr defaultColWidth="9.08984375" defaultRowHeight="12.5" x14ac:dyDescent="0.25"/>
  <cols>
    <col min="1" max="1" width="38.54296875" style="6" bestFit="1" customWidth="1"/>
    <col min="2" max="2" width="40.08984375" style="6" customWidth="1"/>
    <col min="3" max="3" width="27.08984375" style="4" customWidth="1"/>
    <col min="4" max="4" width="9.453125" style="4" customWidth="1"/>
    <col min="5" max="5" width="6.36328125" style="6" customWidth="1"/>
    <col min="6" max="6" width="6.6328125" style="6" customWidth="1"/>
    <col min="7" max="7" width="4.54296875" style="6" customWidth="1"/>
    <col min="8" max="8" width="21.54296875" style="6" customWidth="1"/>
    <col min="9" max="9" width="5.54296875" style="6" customWidth="1"/>
    <col min="10" max="10" width="10.54296875" style="6" customWidth="1"/>
    <col min="11" max="11" width="12.6328125" style="20" customWidth="1"/>
    <col min="12" max="12" width="15" style="4" customWidth="1"/>
    <col min="13" max="13" width="23.36328125" style="6" bestFit="1" customWidth="1"/>
    <col min="14" max="14" width="22.453125" style="6" bestFit="1" customWidth="1"/>
    <col min="15" max="15" width="31.90625" style="6" bestFit="1" customWidth="1"/>
    <col min="16" max="16" width="10.08984375" style="6" customWidth="1"/>
    <col min="17" max="17" width="31.08984375" style="6" customWidth="1"/>
    <col min="18" max="18" width="22.453125" style="6" bestFit="1" customWidth="1"/>
    <col min="19" max="19" width="38.36328125" style="6" customWidth="1"/>
    <col min="20" max="16384" width="9.08984375" style="6"/>
  </cols>
  <sheetData>
    <row r="1" spans="1:18" s="5" customFormat="1" ht="17.5" x14ac:dyDescent="0.35">
      <c r="A1" s="17" t="s">
        <v>4</v>
      </c>
      <c r="B1" s="5" t="s">
        <v>280</v>
      </c>
      <c r="C1" s="3"/>
      <c r="D1" s="3"/>
      <c r="K1" s="19"/>
      <c r="L1" s="3"/>
    </row>
    <row r="2" spans="1:18" x14ac:dyDescent="0.25">
      <c r="A2" s="18" t="s">
        <v>5</v>
      </c>
      <c r="B2" s="27" t="s">
        <v>28</v>
      </c>
      <c r="C2" s="28"/>
    </row>
    <row r="3" spans="1:18" x14ac:dyDescent="0.25">
      <c r="A3" s="30" t="s">
        <v>47</v>
      </c>
      <c r="B3" s="27" t="s">
        <v>198</v>
      </c>
      <c r="C3" s="28"/>
    </row>
    <row r="4" spans="1:18" x14ac:dyDescent="0.25">
      <c r="A4" s="18" t="s">
        <v>6</v>
      </c>
      <c r="B4" s="16" t="s">
        <v>29</v>
      </c>
      <c r="C4" s="1"/>
    </row>
    <row r="5" spans="1:18" x14ac:dyDescent="0.25">
      <c r="A5" s="18" t="s">
        <v>7</v>
      </c>
      <c r="B5" s="15" t="s">
        <v>29</v>
      </c>
      <c r="D5" s="6"/>
      <c r="H5" s="4"/>
      <c r="I5" s="4"/>
    </row>
    <row r="6" spans="1:18" x14ac:dyDescent="0.25">
      <c r="A6" s="18" t="s">
        <v>3</v>
      </c>
      <c r="B6" s="31" t="s">
        <v>56</v>
      </c>
      <c r="C6" s="1"/>
    </row>
    <row r="7" spans="1:18" ht="13" thickBot="1" x14ac:dyDescent="0.3"/>
    <row r="8" spans="1:18" s="38" customFormat="1" ht="13" thickBot="1" x14ac:dyDescent="0.3">
      <c r="A8" s="32"/>
      <c r="B8" s="33"/>
      <c r="C8" s="34"/>
      <c r="D8" s="33"/>
      <c r="E8" s="35" t="s">
        <v>8</v>
      </c>
      <c r="F8" s="33"/>
      <c r="G8" s="33"/>
      <c r="H8" s="33"/>
      <c r="I8" s="33"/>
      <c r="J8" s="33"/>
      <c r="K8" s="36"/>
      <c r="L8" s="57" t="s">
        <v>9</v>
      </c>
      <c r="M8" s="58"/>
      <c r="N8" s="58"/>
      <c r="O8" s="58"/>
      <c r="P8" s="58"/>
      <c r="Q8" s="59"/>
      <c r="R8" s="37"/>
    </row>
    <row r="9" spans="1:18" s="38" customFormat="1" ht="30.5" x14ac:dyDescent="0.25">
      <c r="A9" s="39" t="s">
        <v>10</v>
      </c>
      <c r="B9" s="40" t="s">
        <v>7</v>
      </c>
      <c r="C9" s="40" t="s">
        <v>3</v>
      </c>
      <c r="D9" s="41" t="s">
        <v>11</v>
      </c>
      <c r="E9" s="41" t="s">
        <v>12</v>
      </c>
      <c r="F9" s="42" t="s">
        <v>30</v>
      </c>
      <c r="G9" s="41" t="s">
        <v>13</v>
      </c>
      <c r="H9" s="41" t="s">
        <v>14</v>
      </c>
      <c r="I9" s="41" t="s">
        <v>15</v>
      </c>
      <c r="J9" s="42" t="s">
        <v>16</v>
      </c>
      <c r="K9" s="43" t="s">
        <v>17</v>
      </c>
      <c r="L9" s="40" t="s">
        <v>18</v>
      </c>
      <c r="M9" s="42" t="s">
        <v>19</v>
      </c>
      <c r="N9" s="42" t="s">
        <v>20</v>
      </c>
      <c r="O9" s="42" t="s">
        <v>21</v>
      </c>
      <c r="P9" s="42" t="s">
        <v>22</v>
      </c>
      <c r="Q9" s="42" t="s">
        <v>26</v>
      </c>
      <c r="R9" s="42" t="s">
        <v>23</v>
      </c>
    </row>
    <row r="10" spans="1:18" s="38" customFormat="1" x14ac:dyDescent="0.25">
      <c r="A10" s="44" t="s">
        <v>24</v>
      </c>
      <c r="B10" s="45" t="s">
        <v>25</v>
      </c>
      <c r="C10" s="45" t="s">
        <v>25</v>
      </c>
      <c r="D10" s="46"/>
      <c r="E10" s="46"/>
      <c r="F10" s="46"/>
      <c r="G10" s="46"/>
      <c r="H10" s="46" t="s">
        <v>25</v>
      </c>
      <c r="I10" s="46"/>
      <c r="J10" s="44"/>
      <c r="K10" s="44" t="s">
        <v>25</v>
      </c>
      <c r="L10" s="45" t="s">
        <v>25</v>
      </c>
      <c r="M10" s="44" t="s">
        <v>25</v>
      </c>
      <c r="N10" s="44" t="s">
        <v>25</v>
      </c>
      <c r="O10" s="44" t="s">
        <v>25</v>
      </c>
      <c r="P10" s="44" t="s">
        <v>25</v>
      </c>
      <c r="Q10" s="44" t="s">
        <v>25</v>
      </c>
      <c r="R10" s="44" t="s">
        <v>25</v>
      </c>
    </row>
    <row r="11" spans="1:18" s="49" customFormat="1" x14ac:dyDescent="0.25">
      <c r="A11" s="47" t="s">
        <v>95</v>
      </c>
      <c r="B11" s="26"/>
      <c r="C11" s="25"/>
      <c r="D11" s="21" t="s">
        <v>45</v>
      </c>
      <c r="E11" s="21">
        <v>50</v>
      </c>
      <c r="F11" s="21"/>
      <c r="G11" s="21"/>
      <c r="H11" s="21"/>
      <c r="I11" s="21" t="s">
        <v>27</v>
      </c>
      <c r="J11" s="21"/>
      <c r="K11" s="22"/>
      <c r="L11" s="23" t="s">
        <v>195</v>
      </c>
      <c r="M11" s="21" t="str">
        <f>$B$3</f>
        <v>USERDB_ETL_CONFIDENTIAL</v>
      </c>
      <c r="N11" s="21" t="s">
        <v>36</v>
      </c>
      <c r="O11" s="53" t="s">
        <v>152</v>
      </c>
      <c r="P11" s="21" t="s">
        <v>94</v>
      </c>
      <c r="Q11" s="25" t="s">
        <v>267</v>
      </c>
      <c r="R11" s="23"/>
    </row>
    <row r="12" spans="1:18" s="49" customFormat="1" x14ac:dyDescent="0.25">
      <c r="A12" s="31" t="s">
        <v>96</v>
      </c>
      <c r="B12" s="26"/>
      <c r="C12" s="25" t="s">
        <v>233</v>
      </c>
      <c r="D12" s="21" t="s">
        <v>45</v>
      </c>
      <c r="E12" s="21">
        <v>50</v>
      </c>
      <c r="F12" s="21"/>
      <c r="G12" s="21"/>
      <c r="H12" s="21"/>
      <c r="I12" s="21" t="s">
        <v>27</v>
      </c>
      <c r="J12" s="21"/>
      <c r="K12" s="50"/>
      <c r="L12" s="23" t="s">
        <v>195</v>
      </c>
      <c r="M12" s="21" t="str">
        <f t="shared" ref="M12:M55" si="0">$B$3</f>
        <v>USERDB_ETL_CONFIDENTIAL</v>
      </c>
      <c r="N12" s="21" t="s">
        <v>36</v>
      </c>
      <c r="O12" s="53" t="s">
        <v>153</v>
      </c>
      <c r="P12" s="21" t="s">
        <v>94</v>
      </c>
      <c r="Q12" s="25" t="s">
        <v>268</v>
      </c>
      <c r="R12" s="23"/>
    </row>
    <row r="13" spans="1:18" s="49" customFormat="1" x14ac:dyDescent="0.25">
      <c r="A13" s="31" t="s">
        <v>234</v>
      </c>
      <c r="B13" s="26"/>
      <c r="C13" s="25" t="s">
        <v>233</v>
      </c>
      <c r="D13" s="21" t="s">
        <v>45</v>
      </c>
      <c r="E13" s="21">
        <v>50</v>
      </c>
      <c r="F13" s="21"/>
      <c r="G13" s="21"/>
      <c r="H13" s="21"/>
      <c r="I13" s="21" t="s">
        <v>27</v>
      </c>
      <c r="J13" s="21"/>
      <c r="K13" s="50"/>
      <c r="L13" s="23" t="s">
        <v>195</v>
      </c>
      <c r="M13" s="21" t="str">
        <f t="shared" si="0"/>
        <v>USERDB_ETL_CONFIDENTIAL</v>
      </c>
      <c r="N13" s="21" t="s">
        <v>36</v>
      </c>
      <c r="P13" s="21" t="s">
        <v>94</v>
      </c>
      <c r="Q13" s="25" t="s">
        <v>270</v>
      </c>
      <c r="R13" s="23"/>
    </row>
    <row r="14" spans="1:18" s="49" customFormat="1" x14ac:dyDescent="0.25">
      <c r="A14" s="47" t="s">
        <v>97</v>
      </c>
      <c r="B14" s="25"/>
      <c r="C14" s="25"/>
      <c r="D14" s="21" t="s">
        <v>45</v>
      </c>
      <c r="E14" s="21">
        <v>20</v>
      </c>
      <c r="F14" s="21"/>
      <c r="G14" s="21"/>
      <c r="H14" s="21"/>
      <c r="I14" s="21"/>
      <c r="J14" s="21"/>
      <c r="K14" s="50"/>
      <c r="L14" s="23" t="s">
        <v>195</v>
      </c>
      <c r="M14" s="21" t="str">
        <f t="shared" si="0"/>
        <v>USERDB_ETL_CONFIDENTIAL</v>
      </c>
      <c r="N14" s="21" t="s">
        <v>36</v>
      </c>
      <c r="O14" s="53" t="s">
        <v>154</v>
      </c>
      <c r="P14" s="21" t="s">
        <v>94</v>
      </c>
      <c r="Q14" s="25" t="s">
        <v>264</v>
      </c>
      <c r="R14" s="23"/>
    </row>
    <row r="15" spans="1:18" s="49" customFormat="1" ht="20.5" x14ac:dyDescent="0.25">
      <c r="A15" s="47" t="s">
        <v>98</v>
      </c>
      <c r="B15" s="25"/>
      <c r="C15" s="25"/>
      <c r="D15" s="21" t="s">
        <v>45</v>
      </c>
      <c r="E15" s="21">
        <v>50</v>
      </c>
      <c r="F15" s="21"/>
      <c r="G15" s="21"/>
      <c r="H15" s="21"/>
      <c r="I15" s="21"/>
      <c r="J15" s="21"/>
      <c r="K15" s="50"/>
      <c r="L15" s="23" t="s">
        <v>195</v>
      </c>
      <c r="M15" s="21" t="str">
        <f t="shared" si="0"/>
        <v>USERDB_ETL_CONFIDENTIAL</v>
      </c>
      <c r="N15" s="21" t="s">
        <v>36</v>
      </c>
      <c r="O15" s="53" t="s">
        <v>155</v>
      </c>
      <c r="P15" s="21" t="s">
        <v>94</v>
      </c>
      <c r="Q15" s="25" t="s">
        <v>240</v>
      </c>
      <c r="R15" s="23"/>
    </row>
    <row r="16" spans="1:18" s="49" customFormat="1" ht="30.5" x14ac:dyDescent="0.25">
      <c r="A16" s="47" t="s">
        <v>99</v>
      </c>
      <c r="B16" s="26"/>
      <c r="C16" s="25"/>
      <c r="D16" s="21" t="s">
        <v>76</v>
      </c>
      <c r="E16" s="21">
        <v>38</v>
      </c>
      <c r="F16" s="21">
        <v>2</v>
      </c>
      <c r="G16" s="21"/>
      <c r="H16" s="21"/>
      <c r="I16" s="21"/>
      <c r="J16" s="21"/>
      <c r="K16" s="50"/>
      <c r="L16" s="23" t="s">
        <v>195</v>
      </c>
      <c r="M16" s="21" t="str">
        <f t="shared" si="0"/>
        <v>USERDB_ETL_CONFIDENTIAL</v>
      </c>
      <c r="N16" s="21" t="s">
        <v>36</v>
      </c>
      <c r="O16" s="53" t="s">
        <v>156</v>
      </c>
      <c r="P16" s="21" t="s">
        <v>94</v>
      </c>
      <c r="Q16" s="25" t="s">
        <v>235</v>
      </c>
      <c r="R16" s="23"/>
    </row>
    <row r="17" spans="1:18" s="26" customFormat="1" ht="20.5" x14ac:dyDescent="0.25">
      <c r="A17" s="47" t="s">
        <v>100</v>
      </c>
      <c r="C17" s="25"/>
      <c r="D17" s="21" t="s">
        <v>76</v>
      </c>
      <c r="E17" s="21">
        <v>38</v>
      </c>
      <c r="F17" s="21">
        <v>2</v>
      </c>
      <c r="G17" s="21"/>
      <c r="H17" s="21"/>
      <c r="I17" s="21"/>
      <c r="J17" s="21"/>
      <c r="K17" s="50"/>
      <c r="L17" s="23" t="s">
        <v>195</v>
      </c>
      <c r="M17" s="21" t="str">
        <f t="shared" si="0"/>
        <v>USERDB_ETL_CONFIDENTIAL</v>
      </c>
      <c r="N17" s="21" t="s">
        <v>36</v>
      </c>
      <c r="O17" s="53" t="s">
        <v>157</v>
      </c>
      <c r="P17" s="21" t="s">
        <v>94</v>
      </c>
      <c r="Q17" s="25" t="s">
        <v>236</v>
      </c>
      <c r="R17" s="23"/>
    </row>
    <row r="18" spans="1:18" s="21" customFormat="1" ht="20.5" x14ac:dyDescent="0.25">
      <c r="A18" s="47" t="s">
        <v>101</v>
      </c>
      <c r="B18" s="26"/>
      <c r="C18" s="25"/>
      <c r="D18" s="21" t="s">
        <v>76</v>
      </c>
      <c r="E18" s="21">
        <v>38</v>
      </c>
      <c r="F18" s="21">
        <v>2</v>
      </c>
      <c r="K18" s="22"/>
      <c r="L18" s="23" t="s">
        <v>195</v>
      </c>
      <c r="M18" s="21" t="str">
        <f t="shared" si="0"/>
        <v>USERDB_ETL_CONFIDENTIAL</v>
      </c>
      <c r="N18" s="21" t="s">
        <v>36</v>
      </c>
      <c r="O18" s="53" t="s">
        <v>158</v>
      </c>
      <c r="P18" s="21" t="s">
        <v>94</v>
      </c>
      <c r="Q18" s="25" t="s">
        <v>243</v>
      </c>
    </row>
    <row r="19" spans="1:18" s="21" customFormat="1" ht="20.5" x14ac:dyDescent="0.25">
      <c r="A19" s="47" t="s">
        <v>102</v>
      </c>
      <c r="B19" s="26"/>
      <c r="C19" s="25"/>
      <c r="D19" s="21" t="s">
        <v>76</v>
      </c>
      <c r="E19" s="21">
        <v>38</v>
      </c>
      <c r="F19" s="21">
        <v>2</v>
      </c>
      <c r="K19" s="22"/>
      <c r="L19" s="23" t="s">
        <v>195</v>
      </c>
      <c r="M19" s="21" t="str">
        <f t="shared" si="0"/>
        <v>USERDB_ETL_CONFIDENTIAL</v>
      </c>
      <c r="N19" s="21" t="s">
        <v>36</v>
      </c>
      <c r="O19" s="53" t="s">
        <v>159</v>
      </c>
      <c r="P19" s="21" t="s">
        <v>94</v>
      </c>
      <c r="Q19" s="25" t="s">
        <v>244</v>
      </c>
    </row>
    <row r="20" spans="1:18" s="21" customFormat="1" ht="20.5" x14ac:dyDescent="0.25">
      <c r="A20" s="47" t="s">
        <v>103</v>
      </c>
      <c r="B20" s="26"/>
      <c r="C20" s="25"/>
      <c r="D20" s="21" t="s">
        <v>76</v>
      </c>
      <c r="E20" s="21">
        <v>38</v>
      </c>
      <c r="F20" s="21">
        <v>2</v>
      </c>
      <c r="K20" s="22"/>
      <c r="L20" s="23" t="s">
        <v>195</v>
      </c>
      <c r="M20" s="21" t="str">
        <f t="shared" si="0"/>
        <v>USERDB_ETL_CONFIDENTIAL</v>
      </c>
      <c r="N20" s="21" t="s">
        <v>36</v>
      </c>
      <c r="O20" s="53" t="s">
        <v>160</v>
      </c>
      <c r="P20" s="21" t="s">
        <v>94</v>
      </c>
      <c r="Q20" s="25" t="s">
        <v>246</v>
      </c>
    </row>
    <row r="21" spans="1:18" s="21" customFormat="1" ht="20.5" x14ac:dyDescent="0.25">
      <c r="A21" s="47" t="s">
        <v>104</v>
      </c>
      <c r="B21" s="26"/>
      <c r="C21" s="25"/>
      <c r="D21" s="21" t="s">
        <v>76</v>
      </c>
      <c r="E21" s="21">
        <v>38</v>
      </c>
      <c r="F21" s="21">
        <v>2</v>
      </c>
      <c r="K21" s="22"/>
      <c r="L21" s="23" t="s">
        <v>195</v>
      </c>
      <c r="M21" s="21" t="str">
        <f t="shared" si="0"/>
        <v>USERDB_ETL_CONFIDENTIAL</v>
      </c>
      <c r="N21" s="21" t="s">
        <v>36</v>
      </c>
      <c r="O21" s="53" t="s">
        <v>161</v>
      </c>
      <c r="P21" s="21" t="s">
        <v>94</v>
      </c>
      <c r="Q21" s="25" t="s">
        <v>247</v>
      </c>
    </row>
    <row r="22" spans="1:18" s="21" customFormat="1" ht="20.5" x14ac:dyDescent="0.25">
      <c r="A22" s="47" t="s">
        <v>105</v>
      </c>
      <c r="B22" s="26"/>
      <c r="C22" s="25"/>
      <c r="D22" s="21" t="s">
        <v>76</v>
      </c>
      <c r="E22" s="21">
        <v>38</v>
      </c>
      <c r="F22" s="21">
        <v>2</v>
      </c>
      <c r="K22" s="22"/>
      <c r="L22" s="23" t="s">
        <v>195</v>
      </c>
      <c r="M22" s="21" t="str">
        <f t="shared" si="0"/>
        <v>USERDB_ETL_CONFIDENTIAL</v>
      </c>
      <c r="N22" s="21" t="s">
        <v>36</v>
      </c>
      <c r="P22" s="21" t="s">
        <v>94</v>
      </c>
      <c r="Q22" s="25" t="s">
        <v>249</v>
      </c>
    </row>
    <row r="23" spans="1:18" s="21" customFormat="1" ht="20.5" x14ac:dyDescent="0.25">
      <c r="A23" s="47" t="s">
        <v>106</v>
      </c>
      <c r="B23" s="26"/>
      <c r="C23" s="25"/>
      <c r="D23" s="21" t="s">
        <v>76</v>
      </c>
      <c r="E23" s="21">
        <v>38</v>
      </c>
      <c r="F23" s="21">
        <v>2</v>
      </c>
      <c r="K23" s="22"/>
      <c r="L23" s="23" t="s">
        <v>195</v>
      </c>
      <c r="M23" s="21" t="str">
        <f t="shared" si="0"/>
        <v>USERDB_ETL_CONFIDENTIAL</v>
      </c>
      <c r="N23" s="21" t="s">
        <v>36</v>
      </c>
      <c r="P23" s="21" t="s">
        <v>94</v>
      </c>
      <c r="Q23" s="25" t="s">
        <v>250</v>
      </c>
    </row>
    <row r="24" spans="1:18" s="21" customFormat="1" ht="20.5" x14ac:dyDescent="0.25">
      <c r="A24" s="47" t="s">
        <v>107</v>
      </c>
      <c r="B24" s="26"/>
      <c r="C24" s="25"/>
      <c r="D24" s="21" t="s">
        <v>76</v>
      </c>
      <c r="E24" s="21">
        <v>38</v>
      </c>
      <c r="F24" s="21">
        <v>2</v>
      </c>
      <c r="K24" s="22"/>
      <c r="L24" s="23" t="s">
        <v>195</v>
      </c>
      <c r="M24" s="21" t="str">
        <f t="shared" si="0"/>
        <v>USERDB_ETL_CONFIDENTIAL</v>
      </c>
      <c r="N24" s="21" t="s">
        <v>36</v>
      </c>
      <c r="O24" s="53" t="s">
        <v>162</v>
      </c>
      <c r="P24" s="21" t="s">
        <v>94</v>
      </c>
      <c r="Q24" s="25" t="s">
        <v>251</v>
      </c>
    </row>
    <row r="25" spans="1:18" s="21" customFormat="1" ht="20.5" x14ac:dyDescent="0.25">
      <c r="A25" s="47" t="s">
        <v>108</v>
      </c>
      <c r="B25" s="26"/>
      <c r="C25" s="25"/>
      <c r="D25" s="21" t="s">
        <v>76</v>
      </c>
      <c r="E25" s="21">
        <v>38</v>
      </c>
      <c r="F25" s="21">
        <v>2</v>
      </c>
      <c r="K25" s="22"/>
      <c r="L25" s="23" t="s">
        <v>195</v>
      </c>
      <c r="M25" s="21" t="str">
        <f t="shared" si="0"/>
        <v>USERDB_ETL_CONFIDENTIAL</v>
      </c>
      <c r="N25" s="21" t="s">
        <v>36</v>
      </c>
      <c r="O25" s="53" t="s">
        <v>163</v>
      </c>
      <c r="P25" s="21" t="s">
        <v>94</v>
      </c>
      <c r="Q25" s="25" t="s">
        <v>252</v>
      </c>
    </row>
    <row r="26" spans="1:18" s="21" customFormat="1" ht="20.5" x14ac:dyDescent="0.25">
      <c r="A26" s="47" t="s">
        <v>109</v>
      </c>
      <c r="B26" s="26"/>
      <c r="C26" s="25"/>
      <c r="D26" s="21" t="s">
        <v>76</v>
      </c>
      <c r="E26" s="21">
        <v>38</v>
      </c>
      <c r="F26" s="21">
        <v>2</v>
      </c>
      <c r="K26" s="22"/>
      <c r="L26" s="23" t="s">
        <v>195</v>
      </c>
      <c r="M26" s="21" t="str">
        <f t="shared" si="0"/>
        <v>USERDB_ETL_CONFIDENTIAL</v>
      </c>
      <c r="N26" s="21" t="s">
        <v>36</v>
      </c>
      <c r="O26" s="53" t="s">
        <v>164</v>
      </c>
      <c r="P26" s="21" t="s">
        <v>94</v>
      </c>
      <c r="Q26" s="25" t="s">
        <v>253</v>
      </c>
    </row>
    <row r="27" spans="1:18" s="21" customFormat="1" ht="20.5" x14ac:dyDescent="0.25">
      <c r="A27" s="47" t="s">
        <v>110</v>
      </c>
      <c r="B27" s="26"/>
      <c r="C27" s="25"/>
      <c r="D27" s="21" t="s">
        <v>76</v>
      </c>
      <c r="E27" s="21">
        <v>38</v>
      </c>
      <c r="F27" s="21">
        <v>2</v>
      </c>
      <c r="K27" s="22"/>
      <c r="L27" s="23" t="s">
        <v>195</v>
      </c>
      <c r="M27" s="21" t="str">
        <f t="shared" si="0"/>
        <v>USERDB_ETL_CONFIDENTIAL</v>
      </c>
      <c r="N27" s="21" t="s">
        <v>36</v>
      </c>
      <c r="O27" s="53" t="s">
        <v>165</v>
      </c>
      <c r="P27" s="21" t="s">
        <v>94</v>
      </c>
      <c r="Q27" s="25" t="s">
        <v>259</v>
      </c>
    </row>
    <row r="28" spans="1:18" s="21" customFormat="1" ht="20.5" x14ac:dyDescent="0.25">
      <c r="A28" s="47" t="s">
        <v>111</v>
      </c>
      <c r="B28" s="26"/>
      <c r="C28" s="25"/>
      <c r="D28" s="21" t="s">
        <v>76</v>
      </c>
      <c r="E28" s="21">
        <v>38</v>
      </c>
      <c r="F28" s="21">
        <v>2</v>
      </c>
      <c r="K28" s="22"/>
      <c r="L28" s="23" t="s">
        <v>195</v>
      </c>
      <c r="M28" s="21" t="str">
        <f t="shared" si="0"/>
        <v>USERDB_ETL_CONFIDENTIAL</v>
      </c>
      <c r="N28" s="21" t="s">
        <v>36</v>
      </c>
      <c r="O28" s="53" t="s">
        <v>166</v>
      </c>
      <c r="P28" s="21" t="s">
        <v>94</v>
      </c>
      <c r="Q28" s="25" t="s">
        <v>257</v>
      </c>
    </row>
    <row r="29" spans="1:18" s="21" customFormat="1" ht="20.5" x14ac:dyDescent="0.25">
      <c r="A29" s="47" t="s">
        <v>112</v>
      </c>
      <c r="B29" s="26"/>
      <c r="C29" s="25"/>
      <c r="D29" s="21" t="s">
        <v>76</v>
      </c>
      <c r="E29" s="21">
        <v>38</v>
      </c>
      <c r="F29" s="21">
        <v>2</v>
      </c>
      <c r="K29" s="22"/>
      <c r="L29" s="23" t="s">
        <v>195</v>
      </c>
      <c r="M29" s="21" t="str">
        <f t="shared" si="0"/>
        <v>USERDB_ETL_CONFIDENTIAL</v>
      </c>
      <c r="N29" s="21" t="s">
        <v>36</v>
      </c>
      <c r="O29" s="53" t="s">
        <v>167</v>
      </c>
      <c r="P29" s="21" t="s">
        <v>94</v>
      </c>
      <c r="Q29" s="25" t="s">
        <v>263</v>
      </c>
    </row>
    <row r="30" spans="1:18" s="21" customFormat="1" ht="20.5" x14ac:dyDescent="0.25">
      <c r="A30" s="31" t="s">
        <v>113</v>
      </c>
      <c r="B30" s="26"/>
      <c r="C30" s="25"/>
      <c r="D30" s="21" t="s">
        <v>76</v>
      </c>
      <c r="E30" s="21">
        <v>38</v>
      </c>
      <c r="F30" s="21">
        <v>2</v>
      </c>
      <c r="K30" s="22"/>
      <c r="L30" s="23" t="s">
        <v>195</v>
      </c>
      <c r="M30" s="21" t="str">
        <f t="shared" si="0"/>
        <v>USERDB_ETL_CONFIDENTIAL</v>
      </c>
      <c r="N30" s="21" t="s">
        <v>36</v>
      </c>
      <c r="O30" s="53" t="s">
        <v>168</v>
      </c>
      <c r="P30" s="21" t="s">
        <v>94</v>
      </c>
      <c r="Q30" s="25" t="s">
        <v>261</v>
      </c>
    </row>
    <row r="31" spans="1:18" s="21" customFormat="1" ht="20.5" x14ac:dyDescent="0.25">
      <c r="A31" s="31" t="s">
        <v>114</v>
      </c>
      <c r="B31" s="26"/>
      <c r="C31" s="25"/>
      <c r="D31" s="21" t="s">
        <v>76</v>
      </c>
      <c r="E31" s="21">
        <v>38</v>
      </c>
      <c r="F31" s="21">
        <v>2</v>
      </c>
      <c r="K31" s="22"/>
      <c r="L31" s="23" t="s">
        <v>195</v>
      </c>
      <c r="M31" s="21" t="str">
        <f t="shared" si="0"/>
        <v>USERDB_ETL_CONFIDENTIAL</v>
      </c>
      <c r="N31" s="21" t="s">
        <v>36</v>
      </c>
      <c r="O31" s="53" t="s">
        <v>169</v>
      </c>
      <c r="P31" s="21" t="s">
        <v>94</v>
      </c>
      <c r="Q31" s="25" t="s">
        <v>262</v>
      </c>
    </row>
    <row r="32" spans="1:18" s="21" customFormat="1" ht="20.5" x14ac:dyDescent="0.25">
      <c r="A32" s="47" t="s">
        <v>115</v>
      </c>
      <c r="B32" s="26"/>
      <c r="C32" s="25"/>
      <c r="D32" s="21" t="s">
        <v>76</v>
      </c>
      <c r="E32" s="21">
        <v>38</v>
      </c>
      <c r="F32" s="21">
        <v>2</v>
      </c>
      <c r="K32" s="22"/>
      <c r="L32" s="23" t="s">
        <v>195</v>
      </c>
      <c r="M32" s="21" t="str">
        <f t="shared" si="0"/>
        <v>USERDB_ETL_CONFIDENTIAL</v>
      </c>
      <c r="N32" s="21" t="s">
        <v>36</v>
      </c>
      <c r="O32" s="53" t="s">
        <v>170</v>
      </c>
      <c r="P32" s="21" t="s">
        <v>94</v>
      </c>
      <c r="Q32" s="25" t="s">
        <v>258</v>
      </c>
      <c r="R32" s="23"/>
    </row>
    <row r="33" spans="1:17" s="21" customFormat="1" ht="30.5" x14ac:dyDescent="0.25">
      <c r="A33" s="47" t="s">
        <v>116</v>
      </c>
      <c r="B33" s="26"/>
      <c r="C33" s="25"/>
      <c r="D33" s="21" t="s">
        <v>76</v>
      </c>
      <c r="E33" s="21">
        <v>38</v>
      </c>
      <c r="K33" s="22"/>
      <c r="L33" s="23" t="s">
        <v>195</v>
      </c>
      <c r="M33" s="21" t="str">
        <f t="shared" si="0"/>
        <v>USERDB_ETL_CONFIDENTIAL</v>
      </c>
      <c r="N33" s="21" t="s">
        <v>36</v>
      </c>
      <c r="O33" s="53" t="s">
        <v>171</v>
      </c>
      <c r="P33" s="21" t="s">
        <v>94</v>
      </c>
      <c r="Q33" s="25" t="s">
        <v>269</v>
      </c>
    </row>
    <row r="34" spans="1:17" s="21" customFormat="1" ht="20.5" x14ac:dyDescent="0.25">
      <c r="A34" s="47" t="s">
        <v>117</v>
      </c>
      <c r="B34" s="26"/>
      <c r="C34" s="25"/>
      <c r="D34" s="23" t="s">
        <v>132</v>
      </c>
      <c r="K34" s="22"/>
      <c r="L34" s="23" t="s">
        <v>195</v>
      </c>
      <c r="M34" s="21" t="str">
        <f t="shared" si="0"/>
        <v>USERDB_ETL_CONFIDENTIAL</v>
      </c>
      <c r="N34" s="21" t="s">
        <v>36</v>
      </c>
      <c r="O34" s="53" t="s">
        <v>172</v>
      </c>
      <c r="P34" s="21" t="s">
        <v>94</v>
      </c>
      <c r="Q34" s="25" t="s">
        <v>237</v>
      </c>
    </row>
    <row r="35" spans="1:17" s="21" customFormat="1" ht="20.5" x14ac:dyDescent="0.25">
      <c r="A35" s="47" t="s">
        <v>118</v>
      </c>
      <c r="B35" s="26"/>
      <c r="C35" s="25"/>
      <c r="D35" s="23" t="s">
        <v>132</v>
      </c>
      <c r="K35" s="22"/>
      <c r="L35" s="23" t="s">
        <v>195</v>
      </c>
      <c r="M35" s="21" t="str">
        <f t="shared" si="0"/>
        <v>USERDB_ETL_CONFIDENTIAL</v>
      </c>
      <c r="N35" s="21" t="s">
        <v>36</v>
      </c>
      <c r="O35" s="53" t="s">
        <v>173</v>
      </c>
      <c r="P35" s="21" t="s">
        <v>94</v>
      </c>
      <c r="Q35" s="25" t="s">
        <v>238</v>
      </c>
    </row>
    <row r="36" spans="1:17" s="21" customFormat="1" ht="20.5" x14ac:dyDescent="0.25">
      <c r="A36" s="47" t="s">
        <v>119</v>
      </c>
      <c r="B36" s="26"/>
      <c r="C36" s="25"/>
      <c r="D36" s="23" t="s">
        <v>132</v>
      </c>
      <c r="K36" s="22"/>
      <c r="L36" s="23" t="s">
        <v>195</v>
      </c>
      <c r="M36" s="21" t="str">
        <f t="shared" si="0"/>
        <v>USERDB_ETL_CONFIDENTIAL</v>
      </c>
      <c r="N36" s="21" t="s">
        <v>36</v>
      </c>
      <c r="O36" s="53" t="s">
        <v>174</v>
      </c>
      <c r="P36" s="21" t="s">
        <v>94</v>
      </c>
      <c r="Q36" s="25" t="s">
        <v>239</v>
      </c>
    </row>
    <row r="37" spans="1:17" s="21" customFormat="1" ht="20.5" x14ac:dyDescent="0.25">
      <c r="A37" s="47" t="s">
        <v>120</v>
      </c>
      <c r="B37" s="26"/>
      <c r="C37" s="23"/>
      <c r="D37" s="23" t="s">
        <v>132</v>
      </c>
      <c r="K37" s="22"/>
      <c r="L37" s="23" t="s">
        <v>195</v>
      </c>
      <c r="M37" s="21" t="str">
        <f t="shared" si="0"/>
        <v>USERDB_ETL_CONFIDENTIAL</v>
      </c>
      <c r="N37" s="21" t="s">
        <v>36</v>
      </c>
      <c r="O37" s="53" t="s">
        <v>175</v>
      </c>
      <c r="P37" s="21" t="s">
        <v>94</v>
      </c>
      <c r="Q37" s="25" t="s">
        <v>241</v>
      </c>
    </row>
    <row r="38" spans="1:17" s="21" customFormat="1" ht="20.5" x14ac:dyDescent="0.25">
      <c r="A38" s="47" t="s">
        <v>121</v>
      </c>
      <c r="B38" s="26"/>
      <c r="C38" s="23"/>
      <c r="D38" s="23" t="s">
        <v>132</v>
      </c>
      <c r="K38" s="22"/>
      <c r="L38" s="23" t="s">
        <v>195</v>
      </c>
      <c r="M38" s="21" t="str">
        <f t="shared" si="0"/>
        <v>USERDB_ETL_CONFIDENTIAL</v>
      </c>
      <c r="N38" s="21" t="s">
        <v>36</v>
      </c>
      <c r="O38" s="53" t="s">
        <v>176</v>
      </c>
      <c r="P38" s="21" t="s">
        <v>94</v>
      </c>
      <c r="Q38" s="25" t="s">
        <v>242</v>
      </c>
    </row>
    <row r="39" spans="1:17" s="21" customFormat="1" ht="20.5" x14ac:dyDescent="0.25">
      <c r="A39" s="47" t="s">
        <v>122</v>
      </c>
      <c r="B39" s="26"/>
      <c r="C39" s="23"/>
      <c r="D39" s="23" t="s">
        <v>132</v>
      </c>
      <c r="K39" s="22"/>
      <c r="L39" s="23" t="s">
        <v>195</v>
      </c>
      <c r="M39" s="21" t="str">
        <f t="shared" si="0"/>
        <v>USERDB_ETL_CONFIDENTIAL</v>
      </c>
      <c r="N39" s="21" t="s">
        <v>36</v>
      </c>
      <c r="O39" s="53" t="s">
        <v>177</v>
      </c>
      <c r="P39" s="21" t="s">
        <v>94</v>
      </c>
      <c r="Q39" s="25" t="s">
        <v>245</v>
      </c>
    </row>
    <row r="40" spans="1:17" s="21" customFormat="1" ht="20.5" x14ac:dyDescent="0.25">
      <c r="A40" s="47" t="s">
        <v>123</v>
      </c>
      <c r="B40" s="26"/>
      <c r="C40" s="23"/>
      <c r="D40" s="23" t="s">
        <v>132</v>
      </c>
      <c r="K40" s="22"/>
      <c r="L40" s="23" t="s">
        <v>195</v>
      </c>
      <c r="M40" s="21" t="str">
        <f t="shared" si="0"/>
        <v>USERDB_ETL_CONFIDENTIAL</v>
      </c>
      <c r="N40" s="21" t="s">
        <v>36</v>
      </c>
      <c r="O40" s="53" t="s">
        <v>178</v>
      </c>
      <c r="P40" s="21" t="s">
        <v>94</v>
      </c>
      <c r="Q40" s="25" t="s">
        <v>248</v>
      </c>
    </row>
    <row r="41" spans="1:17" s="21" customFormat="1" ht="20.5" x14ac:dyDescent="0.25">
      <c r="A41" s="47" t="s">
        <v>75</v>
      </c>
      <c r="B41" s="26"/>
      <c r="C41" s="23"/>
      <c r="D41" s="23" t="s">
        <v>132</v>
      </c>
      <c r="K41" s="22"/>
      <c r="L41" s="23" t="s">
        <v>195</v>
      </c>
      <c r="M41" s="21" t="str">
        <f t="shared" si="0"/>
        <v>USERDB_ETL_CONFIDENTIAL</v>
      </c>
      <c r="N41" s="21" t="s">
        <v>36</v>
      </c>
      <c r="O41" s="53" t="s">
        <v>151</v>
      </c>
      <c r="P41" s="21" t="s">
        <v>94</v>
      </c>
      <c r="Q41" s="25" t="s">
        <v>273</v>
      </c>
    </row>
    <row r="42" spans="1:17" s="21" customFormat="1" ht="30.5" x14ac:dyDescent="0.25">
      <c r="A42" s="47" t="s">
        <v>124</v>
      </c>
      <c r="B42" s="26"/>
      <c r="C42" s="23"/>
      <c r="D42" s="23" t="s">
        <v>132</v>
      </c>
      <c r="K42" s="22"/>
      <c r="L42" s="23" t="s">
        <v>195</v>
      </c>
      <c r="M42" s="21" t="str">
        <f t="shared" si="0"/>
        <v>USERDB_ETL_CONFIDENTIAL</v>
      </c>
      <c r="N42" s="21" t="s">
        <v>36</v>
      </c>
      <c r="O42" s="53" t="s">
        <v>179</v>
      </c>
      <c r="P42" s="21" t="s">
        <v>94</v>
      </c>
      <c r="Q42" s="25" t="s">
        <v>271</v>
      </c>
    </row>
    <row r="43" spans="1:17" s="21" customFormat="1" ht="20.5" x14ac:dyDescent="0.25">
      <c r="A43" s="47" t="s">
        <v>125</v>
      </c>
      <c r="B43" s="26"/>
      <c r="C43" s="23"/>
      <c r="D43" s="23" t="s">
        <v>132</v>
      </c>
      <c r="K43" s="22"/>
      <c r="L43" s="23" t="s">
        <v>195</v>
      </c>
      <c r="M43" s="21" t="str">
        <f t="shared" si="0"/>
        <v>USERDB_ETL_CONFIDENTIAL</v>
      </c>
      <c r="N43" s="21" t="s">
        <v>36</v>
      </c>
      <c r="O43" s="53" t="s">
        <v>180</v>
      </c>
      <c r="P43" s="21" t="s">
        <v>94</v>
      </c>
      <c r="Q43" s="25" t="s">
        <v>254</v>
      </c>
    </row>
    <row r="44" spans="1:17" s="21" customFormat="1" ht="20.5" x14ac:dyDescent="0.25">
      <c r="A44" s="47" t="s">
        <v>126</v>
      </c>
      <c r="B44" s="26"/>
      <c r="C44" s="23"/>
      <c r="D44" s="23" t="s">
        <v>132</v>
      </c>
      <c r="K44" s="22"/>
      <c r="L44" s="23" t="s">
        <v>195</v>
      </c>
      <c r="M44" s="21" t="str">
        <f t="shared" si="0"/>
        <v>USERDB_ETL_CONFIDENTIAL</v>
      </c>
      <c r="N44" s="21" t="s">
        <v>36</v>
      </c>
      <c r="O44" s="53" t="s">
        <v>181</v>
      </c>
      <c r="P44" s="21" t="s">
        <v>94</v>
      </c>
      <c r="Q44" s="25" t="s">
        <v>255</v>
      </c>
    </row>
    <row r="45" spans="1:17" s="21" customFormat="1" ht="20.5" x14ac:dyDescent="0.25">
      <c r="A45" s="47" t="s">
        <v>127</v>
      </c>
      <c r="B45" s="26"/>
      <c r="C45" s="23"/>
      <c r="D45" s="23" t="s">
        <v>132</v>
      </c>
      <c r="K45" s="22"/>
      <c r="L45" s="23" t="s">
        <v>195</v>
      </c>
      <c r="M45" s="21" t="str">
        <f t="shared" si="0"/>
        <v>USERDB_ETL_CONFIDENTIAL</v>
      </c>
      <c r="N45" s="21" t="s">
        <v>36</v>
      </c>
      <c r="O45" s="53" t="s">
        <v>182</v>
      </c>
      <c r="P45" s="21" t="s">
        <v>94</v>
      </c>
      <c r="Q45" s="25" t="s">
        <v>272</v>
      </c>
    </row>
    <row r="46" spans="1:17" s="21" customFormat="1" ht="20.5" x14ac:dyDescent="0.25">
      <c r="A46" s="47" t="s">
        <v>128</v>
      </c>
      <c r="B46" s="26"/>
      <c r="C46" s="23"/>
      <c r="D46" s="23" t="s">
        <v>132</v>
      </c>
      <c r="K46" s="22"/>
      <c r="L46" s="23" t="s">
        <v>195</v>
      </c>
      <c r="M46" s="21" t="str">
        <f t="shared" si="0"/>
        <v>USERDB_ETL_CONFIDENTIAL</v>
      </c>
      <c r="N46" s="21" t="s">
        <v>36</v>
      </c>
      <c r="O46" s="53" t="s">
        <v>183</v>
      </c>
      <c r="P46" s="21" t="s">
        <v>94</v>
      </c>
      <c r="Q46" s="25" t="s">
        <v>266</v>
      </c>
    </row>
    <row r="47" spans="1:17" s="21" customFormat="1" ht="20.5" x14ac:dyDescent="0.25">
      <c r="A47" s="47" t="s">
        <v>129</v>
      </c>
      <c r="B47" s="26"/>
      <c r="C47" s="25"/>
      <c r="D47" s="23" t="s">
        <v>76</v>
      </c>
      <c r="E47" s="21">
        <v>38</v>
      </c>
      <c r="F47" s="21">
        <v>0</v>
      </c>
      <c r="K47" s="22"/>
      <c r="L47" s="23" t="s">
        <v>195</v>
      </c>
      <c r="M47" s="21" t="str">
        <f t="shared" si="0"/>
        <v>USERDB_ETL_CONFIDENTIAL</v>
      </c>
      <c r="N47" s="21" t="s">
        <v>36</v>
      </c>
      <c r="O47" s="53" t="s">
        <v>184</v>
      </c>
      <c r="P47" s="21" t="s">
        <v>94</v>
      </c>
      <c r="Q47" s="25" t="s">
        <v>256</v>
      </c>
    </row>
    <row r="48" spans="1:17" s="21" customFormat="1" ht="20.5" x14ac:dyDescent="0.25">
      <c r="A48" s="47" t="s">
        <v>130</v>
      </c>
      <c r="B48" s="26"/>
      <c r="C48" s="25"/>
      <c r="D48" s="23" t="s">
        <v>76</v>
      </c>
      <c r="E48" s="21">
        <v>38</v>
      </c>
      <c r="F48" s="21">
        <v>2</v>
      </c>
      <c r="K48" s="22"/>
      <c r="L48" s="23" t="s">
        <v>195</v>
      </c>
      <c r="M48" s="21" t="str">
        <f t="shared" si="0"/>
        <v>USERDB_ETL_CONFIDENTIAL</v>
      </c>
      <c r="N48" s="21" t="s">
        <v>36</v>
      </c>
      <c r="O48" s="53" t="s">
        <v>185</v>
      </c>
      <c r="P48" s="21" t="s">
        <v>94</v>
      </c>
      <c r="Q48" s="25" t="s">
        <v>260</v>
      </c>
    </row>
    <row r="49" spans="1:19" s="21" customFormat="1" ht="20.5" x14ac:dyDescent="0.25">
      <c r="A49" s="47" t="s">
        <v>131</v>
      </c>
      <c r="B49" s="26"/>
      <c r="C49" s="25"/>
      <c r="D49" s="23" t="s">
        <v>76</v>
      </c>
      <c r="E49" s="21">
        <v>38</v>
      </c>
      <c r="F49" s="21">
        <v>2</v>
      </c>
      <c r="K49" s="22"/>
      <c r="L49" s="23" t="s">
        <v>195</v>
      </c>
      <c r="M49" s="21" t="str">
        <f t="shared" si="0"/>
        <v>USERDB_ETL_CONFIDENTIAL</v>
      </c>
      <c r="N49" s="21" t="s">
        <v>36</v>
      </c>
      <c r="O49" s="53" t="s">
        <v>186</v>
      </c>
      <c r="P49" s="21" t="s">
        <v>94</v>
      </c>
      <c r="Q49" s="25" t="s">
        <v>265</v>
      </c>
      <c r="S49" s="25"/>
    </row>
    <row r="50" spans="1:19" s="21" customFormat="1" ht="30.5" x14ac:dyDescent="0.25">
      <c r="A50" s="47" t="s">
        <v>32</v>
      </c>
      <c r="B50" s="26"/>
      <c r="C50" s="25"/>
      <c r="D50" s="21" t="s">
        <v>44</v>
      </c>
      <c r="K50" s="22"/>
      <c r="L50" s="23" t="s">
        <v>195</v>
      </c>
      <c r="M50" s="21" t="str">
        <f t="shared" si="0"/>
        <v>USERDB_ETL_CONFIDENTIAL</v>
      </c>
      <c r="N50" s="21" t="s">
        <v>36</v>
      </c>
      <c r="O50" s="53" t="s">
        <v>32</v>
      </c>
      <c r="P50" s="21" t="s">
        <v>94</v>
      </c>
      <c r="Q50" s="25" t="s">
        <v>274</v>
      </c>
    </row>
    <row r="51" spans="1:19" s="21" customFormat="1" ht="20.5" x14ac:dyDescent="0.25">
      <c r="A51" s="47" t="s">
        <v>33</v>
      </c>
      <c r="B51" s="26"/>
      <c r="C51" s="25"/>
      <c r="D51" s="21" t="s">
        <v>44</v>
      </c>
      <c r="K51" s="22"/>
      <c r="L51" s="23" t="s">
        <v>195</v>
      </c>
      <c r="M51" s="21" t="str">
        <f t="shared" si="0"/>
        <v>USERDB_ETL_CONFIDENTIAL</v>
      </c>
      <c r="N51" s="21" t="s">
        <v>36</v>
      </c>
      <c r="O51" s="53" t="s">
        <v>33</v>
      </c>
      <c r="P51" s="21" t="s">
        <v>94</v>
      </c>
      <c r="Q51" s="25" t="s">
        <v>275</v>
      </c>
    </row>
    <row r="52" spans="1:19" s="21" customFormat="1" ht="20.5" x14ac:dyDescent="0.25">
      <c r="A52" s="47" t="s">
        <v>39</v>
      </c>
      <c r="B52" s="26"/>
      <c r="C52" s="25"/>
      <c r="D52" s="21" t="s">
        <v>45</v>
      </c>
      <c r="E52" s="21">
        <v>100</v>
      </c>
      <c r="K52" s="22"/>
      <c r="L52" s="23" t="s">
        <v>195</v>
      </c>
      <c r="M52" s="21" t="str">
        <f t="shared" si="0"/>
        <v>USERDB_ETL_CONFIDENTIAL</v>
      </c>
      <c r="N52" s="21" t="s">
        <v>36</v>
      </c>
      <c r="O52" s="53" t="s">
        <v>39</v>
      </c>
      <c r="P52" s="21" t="s">
        <v>48</v>
      </c>
      <c r="Q52" s="25" t="s">
        <v>276</v>
      </c>
      <c r="R52" s="23"/>
    </row>
    <row r="53" spans="1:19" s="21" customFormat="1" x14ac:dyDescent="0.25">
      <c r="A53" s="47" t="s">
        <v>34</v>
      </c>
      <c r="B53" s="26"/>
      <c r="C53" s="23"/>
      <c r="D53" s="21" t="s">
        <v>44</v>
      </c>
      <c r="K53" s="22"/>
      <c r="L53" s="23" t="s">
        <v>195</v>
      </c>
      <c r="M53" s="21" t="str">
        <f t="shared" si="0"/>
        <v>USERDB_ETL_CONFIDENTIAL</v>
      </c>
      <c r="N53" s="21" t="s">
        <v>36</v>
      </c>
      <c r="O53" s="53" t="s">
        <v>34</v>
      </c>
      <c r="P53" s="21" t="s">
        <v>44</v>
      </c>
      <c r="Q53" s="25" t="s">
        <v>196</v>
      </c>
    </row>
    <row r="54" spans="1:19" s="21" customFormat="1" ht="20.5" x14ac:dyDescent="0.25">
      <c r="A54" s="47" t="s">
        <v>35</v>
      </c>
      <c r="B54" s="26"/>
      <c r="C54" s="25" t="s">
        <v>190</v>
      </c>
      <c r="D54" s="23" t="s">
        <v>45</v>
      </c>
      <c r="E54" s="21">
        <v>50</v>
      </c>
      <c r="I54" s="21" t="s">
        <v>27</v>
      </c>
      <c r="K54" s="52" t="s">
        <v>192</v>
      </c>
      <c r="L54" s="23" t="s">
        <v>195</v>
      </c>
      <c r="M54" s="21" t="str">
        <f t="shared" si="0"/>
        <v>USERDB_ETL_CONFIDENTIAL</v>
      </c>
      <c r="N54" s="21" t="s">
        <v>36</v>
      </c>
      <c r="O54" s="53"/>
      <c r="P54" s="21" t="s">
        <v>193</v>
      </c>
      <c r="Q54" s="25" t="s">
        <v>231</v>
      </c>
    </row>
    <row r="55" spans="1:19" s="21" customFormat="1" x14ac:dyDescent="0.25">
      <c r="A55" s="31" t="s">
        <v>191</v>
      </c>
      <c r="B55" s="26"/>
      <c r="C55" s="23"/>
      <c r="D55" s="21" t="s">
        <v>45</v>
      </c>
      <c r="E55" s="21">
        <v>36</v>
      </c>
      <c r="K55" s="22"/>
      <c r="L55" s="23" t="s">
        <v>195</v>
      </c>
      <c r="M55" s="21" t="str">
        <f t="shared" si="0"/>
        <v>USERDB_ETL_CONFIDENTIAL</v>
      </c>
      <c r="N55" s="21" t="s">
        <v>36</v>
      </c>
      <c r="O55" s="53" t="s">
        <v>191</v>
      </c>
      <c r="P55" s="21" t="s">
        <v>48</v>
      </c>
      <c r="Q55" s="25" t="s">
        <v>232</v>
      </c>
      <c r="R55" s="23"/>
    </row>
    <row r="56" spans="1:19" s="21" customFormat="1" x14ac:dyDescent="0.25">
      <c r="A56" s="47"/>
      <c r="C56" s="25"/>
      <c r="D56" s="53"/>
      <c r="E56" s="53"/>
      <c r="K56" s="22"/>
      <c r="L56" s="23"/>
      <c r="M56" s="23"/>
    </row>
    <row r="57" spans="1:19" s="21" customFormat="1" x14ac:dyDescent="0.25">
      <c r="A57" s="47"/>
      <c r="B57" s="26"/>
      <c r="C57" s="25"/>
      <c r="D57" s="23"/>
      <c r="K57" s="22"/>
      <c r="L57" s="23"/>
      <c r="M57" s="23"/>
    </row>
    <row r="58" spans="1:19" s="21" customFormat="1" x14ac:dyDescent="0.25">
      <c r="A58" s="47"/>
      <c r="B58" s="26"/>
      <c r="C58" s="25"/>
      <c r="D58" s="23"/>
      <c r="K58" s="22"/>
      <c r="L58" s="23"/>
      <c r="M58" s="23"/>
    </row>
    <row r="59" spans="1:19" s="21" customFormat="1" x14ac:dyDescent="0.25">
      <c r="A59" s="47"/>
      <c r="B59" s="26"/>
      <c r="C59" s="25"/>
      <c r="D59" s="23"/>
      <c r="K59" s="22"/>
      <c r="L59" s="23"/>
      <c r="M59" s="23"/>
    </row>
    <row r="60" spans="1:19" s="21" customFormat="1" x14ac:dyDescent="0.25">
      <c r="A60" s="47"/>
      <c r="B60" s="26"/>
      <c r="C60" s="25"/>
      <c r="D60" s="23"/>
      <c r="K60" s="22"/>
      <c r="L60" s="23"/>
      <c r="M60" s="23"/>
    </row>
    <row r="61" spans="1:19" s="21" customFormat="1" x14ac:dyDescent="0.25">
      <c r="A61" s="47"/>
      <c r="B61" s="26"/>
      <c r="C61" s="25"/>
      <c r="D61" s="23"/>
      <c r="K61" s="22"/>
      <c r="L61" s="23"/>
      <c r="M61" s="23"/>
    </row>
    <row r="62" spans="1:19" s="21" customFormat="1" x14ac:dyDescent="0.25">
      <c r="A62" s="47"/>
      <c r="B62" s="26"/>
      <c r="C62" s="25"/>
      <c r="D62" s="23"/>
      <c r="K62" s="22"/>
      <c r="L62" s="23"/>
      <c r="M62" s="23"/>
    </row>
    <row r="63" spans="1:19" s="21" customFormat="1" x14ac:dyDescent="0.25">
      <c r="A63" s="47"/>
      <c r="B63" s="26"/>
      <c r="C63" s="25"/>
      <c r="D63" s="23"/>
      <c r="K63" s="22"/>
      <c r="L63" s="23"/>
      <c r="M63" s="23"/>
    </row>
    <row r="64" spans="1:19" s="21" customFormat="1" x14ac:dyDescent="0.25">
      <c r="A64" s="47"/>
      <c r="B64" s="26"/>
      <c r="C64" s="25"/>
      <c r="D64" s="23"/>
      <c r="K64" s="22"/>
      <c r="L64" s="23"/>
      <c r="M64" s="23"/>
    </row>
    <row r="65" spans="1:13" s="21" customFormat="1" x14ac:dyDescent="0.25">
      <c r="A65" s="47"/>
      <c r="B65" s="26"/>
      <c r="C65" s="25"/>
      <c r="D65" s="23"/>
      <c r="K65" s="22"/>
      <c r="L65" s="23"/>
      <c r="M65" s="23"/>
    </row>
    <row r="66" spans="1:13" s="21" customFormat="1" x14ac:dyDescent="0.25">
      <c r="A66" s="47"/>
      <c r="B66" s="26"/>
      <c r="C66" s="25"/>
      <c r="D66" s="23"/>
      <c r="K66" s="22"/>
      <c r="L66" s="23"/>
      <c r="M66" s="23"/>
    </row>
    <row r="67" spans="1:13" s="21" customFormat="1" x14ac:dyDescent="0.25">
      <c r="A67" s="47"/>
      <c r="B67" s="26"/>
      <c r="C67" s="25"/>
      <c r="D67" s="23"/>
      <c r="K67" s="22"/>
      <c r="L67" s="23"/>
      <c r="M67" s="23"/>
    </row>
    <row r="68" spans="1:13" s="21" customFormat="1" x14ac:dyDescent="0.25">
      <c r="A68" s="47"/>
      <c r="B68" s="26"/>
      <c r="C68" s="25"/>
      <c r="D68" s="23"/>
      <c r="K68" s="22"/>
      <c r="L68" s="23"/>
      <c r="M68" s="23"/>
    </row>
    <row r="69" spans="1:13" s="21" customFormat="1" x14ac:dyDescent="0.25">
      <c r="A69" s="47"/>
      <c r="B69" s="26"/>
      <c r="C69" s="25"/>
      <c r="D69" s="23"/>
      <c r="K69" s="22"/>
      <c r="L69" s="23"/>
      <c r="M69" s="23"/>
    </row>
    <row r="70" spans="1:13" s="21" customFormat="1" x14ac:dyDescent="0.25">
      <c r="A70" s="47"/>
      <c r="B70" s="26"/>
      <c r="C70" s="25"/>
      <c r="D70" s="23"/>
      <c r="K70" s="22"/>
      <c r="L70" s="23"/>
      <c r="M70" s="23"/>
    </row>
    <row r="71" spans="1:13" s="21" customFormat="1" x14ac:dyDescent="0.25">
      <c r="A71" s="47"/>
      <c r="B71" s="26"/>
      <c r="C71" s="25"/>
      <c r="D71" s="23"/>
      <c r="K71" s="22"/>
      <c r="L71" s="23"/>
      <c r="M71" s="23"/>
    </row>
    <row r="72" spans="1:13" s="21" customFormat="1" x14ac:dyDescent="0.25">
      <c r="A72" s="47"/>
      <c r="B72" s="26"/>
      <c r="C72" s="25"/>
      <c r="D72" s="23"/>
      <c r="K72" s="22"/>
      <c r="L72" s="23"/>
      <c r="M72" s="23"/>
    </row>
    <row r="73" spans="1:13" s="21" customFormat="1" x14ac:dyDescent="0.25">
      <c r="A73" s="47"/>
      <c r="B73" s="26"/>
      <c r="C73" s="25"/>
      <c r="D73" s="23"/>
      <c r="K73" s="22"/>
      <c r="L73" s="23"/>
      <c r="M73" s="23"/>
    </row>
    <row r="74" spans="1:13" s="21" customFormat="1" x14ac:dyDescent="0.25">
      <c r="A74" s="47"/>
      <c r="B74" s="26"/>
      <c r="C74" s="25"/>
      <c r="D74" s="23"/>
      <c r="K74" s="22"/>
      <c r="L74" s="23"/>
    </row>
    <row r="75" spans="1:13" s="21" customFormat="1" x14ac:dyDescent="0.25">
      <c r="A75" s="47"/>
      <c r="B75" s="26"/>
      <c r="C75" s="25"/>
      <c r="D75" s="23"/>
      <c r="K75" s="22"/>
      <c r="L75" s="23"/>
    </row>
    <row r="76" spans="1:13" s="21" customFormat="1" x14ac:dyDescent="0.25">
      <c r="A76" s="47"/>
      <c r="B76" s="26"/>
      <c r="C76" s="25"/>
      <c r="D76" s="23"/>
      <c r="K76" s="22"/>
      <c r="L76" s="23"/>
    </row>
    <row r="77" spans="1:13" s="21" customFormat="1" x14ac:dyDescent="0.25">
      <c r="A77" s="47"/>
      <c r="B77" s="26"/>
      <c r="C77" s="25"/>
      <c r="D77" s="23"/>
      <c r="K77" s="22"/>
      <c r="L77" s="23"/>
    </row>
    <row r="78" spans="1:13" s="21" customFormat="1" x14ac:dyDescent="0.25">
      <c r="A78" s="47"/>
      <c r="B78" s="26"/>
      <c r="C78" s="25"/>
      <c r="D78" s="23"/>
      <c r="K78" s="22"/>
      <c r="L78" s="23"/>
    </row>
    <row r="79" spans="1:13" s="21" customFormat="1" x14ac:dyDescent="0.25">
      <c r="A79" s="47"/>
      <c r="B79" s="26"/>
      <c r="C79" s="25"/>
      <c r="D79" s="23"/>
      <c r="K79" s="22"/>
      <c r="L79" s="23"/>
    </row>
    <row r="80" spans="1:13" s="21" customFormat="1" x14ac:dyDescent="0.25">
      <c r="A80" s="47"/>
      <c r="B80" s="26"/>
      <c r="C80" s="25"/>
      <c r="D80" s="23"/>
      <c r="K80" s="22"/>
      <c r="L80" s="23"/>
    </row>
    <row r="81" spans="1:15" s="21" customFormat="1" x14ac:dyDescent="0.25">
      <c r="A81" s="47"/>
      <c r="B81" s="26"/>
      <c r="C81" s="25"/>
      <c r="D81" s="23"/>
      <c r="K81" s="22"/>
      <c r="L81" s="23"/>
    </row>
    <row r="82" spans="1:15" s="21" customFormat="1" x14ac:dyDescent="0.25">
      <c r="A82" s="47"/>
      <c r="B82" s="26"/>
      <c r="C82" s="25"/>
      <c r="D82" s="23"/>
      <c r="K82" s="22"/>
      <c r="L82" s="23"/>
    </row>
    <row r="83" spans="1:15" s="21" customFormat="1" x14ac:dyDescent="0.25">
      <c r="A83" s="47"/>
      <c r="B83" s="26"/>
      <c r="C83" s="25"/>
      <c r="D83" s="23"/>
      <c r="K83" s="22"/>
      <c r="L83" s="23"/>
      <c r="O83" s="6"/>
    </row>
    <row r="84" spans="1:15" s="21" customFormat="1" x14ac:dyDescent="0.25">
      <c r="A84" s="31"/>
      <c r="B84" s="26"/>
      <c r="C84" s="23"/>
      <c r="D84" s="23"/>
      <c r="K84" s="22"/>
      <c r="L84" s="23"/>
      <c r="O84" s="6"/>
    </row>
    <row r="85" spans="1:15" s="21" customFormat="1" x14ac:dyDescent="0.25">
      <c r="A85" s="47"/>
      <c r="B85" s="26"/>
      <c r="C85" s="23"/>
      <c r="D85" s="23"/>
      <c r="K85" s="22"/>
      <c r="L85" s="23"/>
      <c r="O85" s="6"/>
    </row>
    <row r="86" spans="1:15" x14ac:dyDescent="0.25">
      <c r="A86" s="47"/>
      <c r="B86" s="21"/>
    </row>
    <row r="87" spans="1:15" x14ac:dyDescent="0.25">
      <c r="A87" s="47"/>
      <c r="B87" s="21"/>
    </row>
  </sheetData>
  <mergeCells count="1">
    <mergeCell ref="L8:Q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Change Log</vt:lpstr>
      <vt:lpstr>MQ to STG</vt:lpstr>
      <vt:lpstr>STG to GCS INST ISO STG</vt:lpstr>
      <vt:lpstr>STG to GCS INST UNIT STG</vt:lpstr>
    </vt:vector>
  </TitlesOfParts>
  <Manager/>
  <Company>The Kimball Group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Example Data Model Information</dc:title>
  <dc:subject/>
  <dc:creator>Joy Mundy;Kimball Group</dc:creator>
  <cp:keywords>Ch07 Template02; Ch08 Template01</cp:keywords>
  <dc:description/>
  <cp:lastModifiedBy>Wertsching, Keith</cp:lastModifiedBy>
  <cp:revision/>
  <dcterms:created xsi:type="dcterms:W3CDTF">2004-06-03T21:49:10Z</dcterms:created>
  <dcterms:modified xsi:type="dcterms:W3CDTF">2020-02-03T18:47:34Z</dcterms:modified>
  <cp:category/>
  <cp:contentStatus/>
</cp:coreProperties>
</file>